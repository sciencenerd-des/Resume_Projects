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Suppliers" sheetId="3" state="visible" r:id="rId5"/>
    <sheet name="Products" sheetId="4" state="visible" r:id="rId6"/>
    <sheet name="BOM" sheetId="5" state="visible" r:id="rId7"/>
    <sheet name="Labor" sheetId="6" state="visible" r:id="rId8"/>
    <sheet name="Machines" sheetId="7" state="visible" r:id="rId9"/>
    <sheet name="Tooling" sheetId="8" state="visible" r:id="rId10"/>
    <sheet name="Quality" sheetId="9" state="visible" r:id="rId11"/>
    <sheet name="Packaging" sheetId="10" state="visible" r:id="rId12"/>
    <sheet name="Logistics" sheetId="11" state="visible" r:id="rId13"/>
    <sheet name="Cost Summary" sheetId="12" state="visible" r:id="rId14"/>
    <sheet name="Quot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Enter exchange rate to convert 1 unit of this currency to USD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6" authorId="0">
      <text>
        <r>
          <rPr>
            <sz val="10"/>
            <rFont val="Arial"/>
            <family val="2"/>
          </rPr>
          <t xml:space="preserve">Automatically calculates best price across all suppliers after currency conversion</t>
        </r>
      </text>
    </comment>
    <comment ref="N6" authorId="0">
      <text>
        <r>
          <rPr>
            <sz val="10"/>
            <rFont val="Arial"/>
            <family val="2"/>
          </rPr>
          <t xml:space="preserve">Shows which supplier offers the best price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Fully loaded rate includes base hourly rate plus burden (benefits, taxes, etc.)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Enter expected total production volume to amortize NRE costs</t>
        </r>
      </text>
    </comment>
  </commentList>
</comments>
</file>

<file path=xl/sharedStrings.xml><?xml version="1.0" encoding="utf-8"?>
<sst xmlns="http://schemas.openxmlformats.org/spreadsheetml/2006/main" count="601" uniqueCount="458">
  <si>
    <t xml:space="preserve">📈 MANUFACTURING COST DASHBOARD</t>
  </si>
  <si>
    <t xml:space="preserve">Selected Product:</t>
  </si>
  <si>
    <t xml:space="preserve">KEY PERFORMANCE INDICATORS</t>
  </si>
  <si>
    <t xml:space="preserve">Total Unit Cost:</t>
  </si>
  <si>
    <t xml:space="preserve">Selling Price:</t>
  </si>
  <si>
    <t xml:space="preserve">Gross Margin:</t>
  </si>
  <si>
    <t xml:space="preserve">BOM Cost %:</t>
  </si>
  <si>
    <t xml:space="preserve">Labor Cost %:</t>
  </si>
  <si>
    <t xml:space="preserve">COST BREAKDOWN DATA</t>
  </si>
  <si>
    <t xml:space="preserve">Category</t>
  </si>
  <si>
    <t xml:space="preserve">Cost</t>
  </si>
  <si>
    <t xml:space="preserve">Materials</t>
  </si>
  <si>
    <t xml:space="preserve">Labor</t>
  </si>
  <si>
    <t xml:space="preserve">Machines</t>
  </si>
  <si>
    <t xml:space="preserve">Tooling</t>
  </si>
  <si>
    <t xml:space="preserve">Quality</t>
  </si>
  <si>
    <t xml:space="preserve">Packaging</t>
  </si>
  <si>
    <t xml:space="preserve">Logistics</t>
  </si>
  <si>
    <t xml:space="preserve">Overhead</t>
  </si>
  <si>
    <t xml:space="preserve">SUPPLIER PERFORMANCE</t>
  </si>
  <si>
    <t xml:space="preserve">Supplier</t>
  </si>
  <si>
    <t xml:space="preserve">Quality Rating</t>
  </si>
  <si>
    <t xml:space="preserve">Reliability</t>
  </si>
  <si>
    <t xml:space="preserve">Lead Time</t>
  </si>
  <si>
    <t xml:space="preserve">QUICK START GUIDE</t>
  </si>
  <si>
    <t xml:space="preserve">1. Start with SETTINGS sheet - configure currencies, markup rates, and overhead percentages</t>
  </si>
  <si>
    <t xml:space="preserve">2. Add your suppliers in the SUPPLIERS sheet with lead times and ratings</t>
  </si>
  <si>
    <t xml:space="preserve">3. Define your products in the PRODUCTS sheet with SKU, name, and batch sizes</t>
  </si>
  <si>
    <t xml:space="preserve">4. For each product, fill in the BOM with materials and supplier prices</t>
  </si>
  <si>
    <t xml:space="preserve">5. Enter labor operations in LABOR sheet and machine operations in MACHINES sheet</t>
  </si>
  <si>
    <t xml:space="preserve">6. Add tooling costs (NRE and recurring) in TOOLING sheet</t>
  </si>
  <si>
    <t xml:space="preserve">7. Configure quality inspection requirements in QUALITY sheet</t>
  </si>
  <si>
    <t xml:space="preserve">8. Set up packaging costs in PACKAGING sheet</t>
  </si>
  <si>
    <t xml:space="preserve">9. Enter logistics/shipping options in LOGISTICS sheet</t>
  </si>
  <si>
    <t xml:space="preserve">10. Review COST SUMMARY for complete cost rollup and pricing</t>
  </si>
  <si>
    <t xml:space="preserve">11. Generate customer quotes in QUOTE sheet</t>
  </si>
  <si>
    <t xml:space="preserve">COLOR CODING: Blue = Input cells | Green text = Cross-sheet links | Yellow = Totals</t>
  </si>
  <si>
    <t xml:space="preserve">⚙️ CONFIGURATION &amp; SETTINGS</t>
  </si>
  <si>
    <t xml:space="preserve">CURRENCY SETTINGS</t>
  </si>
  <si>
    <t xml:space="preserve">Currency Code</t>
  </si>
  <si>
    <t xml:space="preserve">Currency Name</t>
  </si>
  <si>
    <t xml:space="preserve">Exchange Rate to USD</t>
  </si>
  <si>
    <t xml:space="preserve">Symbol</t>
  </si>
  <si>
    <t xml:space="preserve">USD</t>
  </si>
  <si>
    <t xml:space="preserve">US Dollar</t>
  </si>
  <si>
    <t xml:space="preserve">$</t>
  </si>
  <si>
    <t xml:space="preserve">EUR</t>
  </si>
  <si>
    <t xml:space="preserve">Euro</t>
  </si>
  <si>
    <t xml:space="preserve">€</t>
  </si>
  <si>
    <t xml:space="preserve">GBP</t>
  </si>
  <si>
    <t xml:space="preserve">British Pound</t>
  </si>
  <si>
    <t xml:space="preserve">£</t>
  </si>
  <si>
    <t xml:space="preserve">CNY</t>
  </si>
  <si>
    <t xml:space="preserve">Chinese Yuan</t>
  </si>
  <si>
    <t xml:space="preserve">¥</t>
  </si>
  <si>
    <t xml:space="preserve">INR</t>
  </si>
  <si>
    <t xml:space="preserve">Indian Rupee</t>
  </si>
  <si>
    <t xml:space="preserve">₹</t>
  </si>
  <si>
    <t xml:space="preserve">JPY</t>
  </si>
  <si>
    <t xml:space="preserve">Japanese Yen</t>
  </si>
  <si>
    <t xml:space="preserve">Base Currency:</t>
  </si>
  <si>
    <t xml:space="preserve">MARKUP &amp; MARGIN SETTINGS</t>
  </si>
  <si>
    <t xml:space="preserve">Tier</t>
  </si>
  <si>
    <t xml:space="preserve">Quantity Range</t>
  </si>
  <si>
    <t xml:space="preserve">Markup %</t>
  </si>
  <si>
    <t xml:space="preserve">Effective Margin %</t>
  </si>
  <si>
    <t xml:space="preserve">Tier 1 - Low Volume</t>
  </si>
  <si>
    <t xml:space="preserve">1 - 100</t>
  </si>
  <si>
    <t xml:space="preserve">Tier 2 - Medium Volume</t>
  </si>
  <si>
    <t xml:space="preserve">101 - 500</t>
  </si>
  <si>
    <t xml:space="preserve">Tier 3 - High Volume</t>
  </si>
  <si>
    <t xml:space="preserve">501 - 1000</t>
  </si>
  <si>
    <t xml:space="preserve">Tier 4 - Bulk</t>
  </si>
  <si>
    <t xml:space="preserve">1001+</t>
  </si>
  <si>
    <t xml:space="preserve">OVERHEAD ALLOCATION RATES</t>
  </si>
  <si>
    <t xml:space="preserve">Cost Category</t>
  </si>
  <si>
    <t xml:space="preserve">Allocation Method</t>
  </si>
  <si>
    <t xml:space="preserve">Rate/Percentage</t>
  </si>
  <si>
    <t xml:space="preserve">Notes</t>
  </si>
  <si>
    <t xml:space="preserve">Factory Overhead</t>
  </si>
  <si>
    <t xml:space="preserve">% of Direct Labor</t>
  </si>
  <si>
    <t xml:space="preserve">Includes utilities, rent, supervision</t>
  </si>
  <si>
    <t xml:space="preserve">Administrative</t>
  </si>
  <si>
    <t xml:space="preserve">% of Total Direct Cost</t>
  </si>
  <si>
    <t xml:space="preserve">G&amp;A, HR, Finance</t>
  </si>
  <si>
    <t xml:space="preserve">Engineering Support</t>
  </si>
  <si>
    <t xml:space="preserve">Design, process engineering</t>
  </si>
  <si>
    <t xml:space="preserve">Depreciation</t>
  </si>
  <si>
    <t xml:space="preserve">Per Machine Hour</t>
  </si>
  <si>
    <t xml:space="preserve">Equipment depreciation rate</t>
  </si>
  <si>
    <t xml:space="preserve">QUALITY &amp; INSPECTION RATES</t>
  </si>
  <si>
    <t xml:space="preserve">Inspection Type</t>
  </si>
  <si>
    <t xml:space="preserve">Rate</t>
  </si>
  <si>
    <t xml:space="preserve">Incoming Inspection</t>
  </si>
  <si>
    <t xml:space="preserve">In-Process Inspection</t>
  </si>
  <si>
    <t xml:space="preserve">Final Inspection</t>
  </si>
  <si>
    <t xml:space="preserve">Certification/Documentation</t>
  </si>
  <si>
    <t xml:space="preserve">🏭 SUPPLIER DATABASE</t>
  </si>
  <si>
    <t xml:space="preserve">Supplier ID</t>
  </si>
  <si>
    <t xml:space="preserve">Supplier Name</t>
  </si>
  <si>
    <t xml:space="preserve">Country</t>
  </si>
  <si>
    <t xml:space="preserve">Currency</t>
  </si>
  <si>
    <t xml:space="preserve">Lead Time (Days)</t>
  </si>
  <si>
    <t xml:space="preserve">Payment Terms</t>
  </si>
  <si>
    <t xml:space="preserve">MOQ</t>
  </si>
  <si>
    <t xml:space="preserve">Reliability Score</t>
  </si>
  <si>
    <t xml:space="preserve">Status</t>
  </si>
  <si>
    <t xml:space="preserve">Contact</t>
  </si>
  <si>
    <t xml:space="preserve">SUP001</t>
  </si>
  <si>
    <t xml:space="preserve">Alpha Manufacturing Co.</t>
  </si>
  <si>
    <t xml:space="preserve">China</t>
  </si>
  <si>
    <t xml:space="preserve">Net 30</t>
  </si>
  <si>
    <t xml:space="preserve">Active</t>
  </si>
  <si>
    <t xml:space="preserve">john@alpha.cn</t>
  </si>
  <si>
    <t xml:space="preserve">Preferred for metals</t>
  </si>
  <si>
    <t xml:space="preserve">SUP002</t>
  </si>
  <si>
    <t xml:space="preserve">Beta Components Ltd.</t>
  </si>
  <si>
    <t xml:space="preserve">Germany</t>
  </si>
  <si>
    <t xml:space="preserve">Net 45</t>
  </si>
  <si>
    <t xml:space="preserve">info@beta.de</t>
  </si>
  <si>
    <t xml:space="preserve">Premium quality</t>
  </si>
  <si>
    <t xml:space="preserve">SUP003</t>
  </si>
  <si>
    <t xml:space="preserve">Gamma Industries</t>
  </si>
  <si>
    <t xml:space="preserve">India</t>
  </si>
  <si>
    <t xml:space="preserve">sales@gamma.in</t>
  </si>
  <si>
    <t xml:space="preserve">Cost effective</t>
  </si>
  <si>
    <t xml:space="preserve">SUP004</t>
  </si>
  <si>
    <t xml:space="preserve">Delta Precision</t>
  </si>
  <si>
    <t xml:space="preserve">USA</t>
  </si>
  <si>
    <t xml:space="preserve">Net 15</t>
  </si>
  <si>
    <t xml:space="preserve">order@delta.com</t>
  </si>
  <si>
    <t xml:space="preserve">Quick turnaround</t>
  </si>
  <si>
    <t xml:space="preserve">SUP005</t>
  </si>
  <si>
    <t xml:space="preserve">Epsilon Trading</t>
  </si>
  <si>
    <t xml:space="preserve">Japan</t>
  </si>
  <si>
    <t xml:space="preserve">Net 60</t>
  </si>
  <si>
    <t xml:space="preserve">contact@epsilon.jp</t>
  </si>
  <si>
    <t xml:space="preserve">Electronics specialist</t>
  </si>
  <si>
    <t xml:space="preserve">SUP006</t>
  </si>
  <si>
    <t xml:space="preserve">SUP007</t>
  </si>
  <si>
    <t xml:space="preserve">SUP008</t>
  </si>
  <si>
    <t xml:space="preserve">📦 PRODUCT CATALOG</t>
  </si>
  <si>
    <t xml:space="preserve">SKU</t>
  </si>
  <si>
    <t xml:space="preserve">Product Name</t>
  </si>
  <si>
    <t xml:space="preserve">Unit</t>
  </si>
  <si>
    <t xml:space="preserve">Standard Qty</t>
  </si>
  <si>
    <t xml:space="preserve">Complexity</t>
  </si>
  <si>
    <t xml:space="preserve">Last Updated</t>
  </si>
  <si>
    <t xml:space="preserve">SKU-001</t>
  </si>
  <si>
    <t xml:space="preserve">Precision Gear Assembly</t>
  </si>
  <si>
    <t xml:space="preserve">Mechanical</t>
  </si>
  <si>
    <t xml:space="preserve">EA</t>
  </si>
  <si>
    <t xml:space="preserve">High</t>
  </si>
  <si>
    <t xml:space="preserve">2024-01-15</t>
  </si>
  <si>
    <t xml:space="preserve">Custom machined</t>
  </si>
  <si>
    <t xml:space="preserve">SKU-002</t>
  </si>
  <si>
    <t xml:space="preserve">Electronic Control Board</t>
  </si>
  <si>
    <t xml:space="preserve">Electronics</t>
  </si>
  <si>
    <t xml:space="preserve">2024-01-10</t>
  </si>
  <si>
    <t xml:space="preserve">SMT assembly</t>
  </si>
  <si>
    <t xml:space="preserve">SKU-003</t>
  </si>
  <si>
    <t xml:space="preserve">Aluminum Housing - Large</t>
  </si>
  <si>
    <t xml:space="preserve">Enclosures</t>
  </si>
  <si>
    <t xml:space="preserve">Medium</t>
  </si>
  <si>
    <t xml:space="preserve">2024-01-08</t>
  </si>
  <si>
    <t xml:space="preserve">Die cast</t>
  </si>
  <si>
    <t xml:space="preserve">SKU-004</t>
  </si>
  <si>
    <t xml:space="preserve">Cable Assembly Kit</t>
  </si>
  <si>
    <t xml:space="preserve">Wiring</t>
  </si>
  <si>
    <t xml:space="preserve">SET</t>
  </si>
  <si>
    <t xml:space="preserve">Low</t>
  </si>
  <si>
    <t xml:space="preserve">2024-01-05</t>
  </si>
  <si>
    <t xml:space="preserve">Pre-assembled</t>
  </si>
  <si>
    <t xml:space="preserve">SKU-005</t>
  </si>
  <si>
    <t xml:space="preserve">Stainless Steel Bracket</t>
  </si>
  <si>
    <t xml:space="preserve">Fabrication</t>
  </si>
  <si>
    <t xml:space="preserve">2024-01-12</t>
  </si>
  <si>
    <t xml:space="preserve">Laser cut + bent</t>
  </si>
  <si>
    <t xml:space="preserve">SKU-006</t>
  </si>
  <si>
    <t xml:space="preserve">SKU-007</t>
  </si>
  <si>
    <t xml:space="preserve">SKU-008</t>
  </si>
  <si>
    <t xml:space="preserve">📋 BILL OF MATERIALS (BOM)</t>
  </si>
  <si>
    <t xml:space="preserve">Select SKU:</t>
  </si>
  <si>
    <t xml:space="preserve">Product Name:</t>
  </si>
  <si>
    <t xml:space="preserve">Item #</t>
  </si>
  <si>
    <t xml:space="preserve">Part Number</t>
  </si>
  <si>
    <t xml:space="preserve">Description</t>
  </si>
  <si>
    <t xml:space="preserve">Supplier 1</t>
  </si>
  <si>
    <t xml:space="preserve">S1 Price</t>
  </si>
  <si>
    <t xml:space="preserve">S1 Currency</t>
  </si>
  <si>
    <t xml:space="preserve">Supplier 2</t>
  </si>
  <si>
    <t xml:space="preserve">S2 Price</t>
  </si>
  <si>
    <t xml:space="preserve">S2 Currency</t>
  </si>
  <si>
    <t xml:space="preserve">Supplier 3</t>
  </si>
  <si>
    <t xml:space="preserve">S3 Price</t>
  </si>
  <si>
    <t xml:space="preserve">S3 Currency</t>
  </si>
  <si>
    <t xml:space="preserve">Best Price (USD)</t>
  </si>
  <si>
    <t xml:space="preserve">Best Supplier</t>
  </si>
  <si>
    <t xml:space="preserve">Qty/Unit</t>
  </si>
  <si>
    <t xml:space="preserve">UOM</t>
  </si>
  <si>
    <t xml:space="preserve">Extended Cost</t>
  </si>
  <si>
    <t xml:space="preserve">MTL-001</t>
  </si>
  <si>
    <t xml:space="preserve">Steel Rod 10mm</t>
  </si>
  <si>
    <t xml:space="preserve">M</t>
  </si>
  <si>
    <t xml:space="preserve">MTL-002</t>
  </si>
  <si>
    <t xml:space="preserve">Aluminum Sheet 2mm</t>
  </si>
  <si>
    <t xml:space="preserve">SQM</t>
  </si>
  <si>
    <t xml:space="preserve">CMP-001</t>
  </si>
  <si>
    <t xml:space="preserve">Bearing 6204-2RS</t>
  </si>
  <si>
    <t xml:space="preserve">CMP-002</t>
  </si>
  <si>
    <t xml:space="preserve">M8 Hex Bolt Set</t>
  </si>
  <si>
    <t xml:space="preserve">ELC-001</t>
  </si>
  <si>
    <t xml:space="preserve">Capacitor 100uF</t>
  </si>
  <si>
    <t xml:space="preserve">TOTAL BOM COST:</t>
  </si>
  <si>
    <t xml:space="preserve">👷 DIRECT LABOR COSTS</t>
  </si>
  <si>
    <t xml:space="preserve">LABOR RATE TABLE</t>
  </si>
  <si>
    <t xml:space="preserve">Labor Category</t>
  </si>
  <si>
    <t xml:space="preserve">Hourly Rate (USD)</t>
  </si>
  <si>
    <t xml:space="preserve">Burden Rate %</t>
  </si>
  <si>
    <t xml:space="preserve">Fully Loaded Rate</t>
  </si>
  <si>
    <t xml:space="preserve">Assembly - Basic</t>
  </si>
  <si>
    <t xml:space="preserve">Assembly - Skilled</t>
  </si>
  <si>
    <t xml:space="preserve">Machining - CNC</t>
  </si>
  <si>
    <t xml:space="preserve">Machining - Manual</t>
  </si>
  <si>
    <t xml:space="preserve">Welding</t>
  </si>
  <si>
    <t xml:space="preserve">Quality Inspection</t>
  </si>
  <si>
    <t xml:space="preserve">LABOR OPERATIONS FOR SELECTED SKU</t>
  </si>
  <si>
    <t xml:space="preserve">Op #</t>
  </si>
  <si>
    <t xml:space="preserve">Operation Description</t>
  </si>
  <si>
    <t xml:space="preserve">Setup Time (hrs)</t>
  </si>
  <si>
    <t xml:space="preserve">Run Time (hrs/unit)</t>
  </si>
  <si>
    <t xml:space="preserve">Batch Size</t>
  </si>
  <si>
    <t xml:space="preserve">Total Hours</t>
  </si>
  <si>
    <t xml:space="preserve">Labor Cost</t>
  </si>
  <si>
    <t xml:space="preserve">Material Preparation</t>
  </si>
  <si>
    <t xml:space="preserve">CNC Machining - Primary</t>
  </si>
  <si>
    <t xml:space="preserve">CNC Machining - Secondary</t>
  </si>
  <si>
    <t xml:space="preserve">Manual Finishing</t>
  </si>
  <si>
    <t xml:space="preserve">Assembly</t>
  </si>
  <si>
    <t xml:space="preserve">Quality Check</t>
  </si>
  <si>
    <t xml:space="preserve">TOTAL LABOR:</t>
  </si>
  <si>
    <t xml:space="preserve">LABOR COST PER UNIT:</t>
  </si>
  <si>
    <t xml:space="preserve">⚙️ MACHINE &amp; EQUIPMENT COSTS</t>
  </si>
  <si>
    <t xml:space="preserve">MACHINE RATE TABLE</t>
  </si>
  <si>
    <t xml:space="preserve">Machine ID</t>
  </si>
  <si>
    <t xml:space="preserve">Machine Name</t>
  </si>
  <si>
    <t xml:space="preserve">Hourly Rate</t>
  </si>
  <si>
    <t xml:space="preserve">Setup Cost</t>
  </si>
  <si>
    <t xml:space="preserve">Depreciation/hr</t>
  </si>
  <si>
    <t xml:space="preserve">Maintenance/hr</t>
  </si>
  <si>
    <t xml:space="preserve">Total Rate</t>
  </si>
  <si>
    <t xml:space="preserve">MCH-001</t>
  </si>
  <si>
    <t xml:space="preserve">CNC Lathe - 3 Axis</t>
  </si>
  <si>
    <t xml:space="preserve">MCH-002</t>
  </si>
  <si>
    <t xml:space="preserve">CNC Mill - 5 Axis</t>
  </si>
  <si>
    <t xml:space="preserve">MCH-003</t>
  </si>
  <si>
    <t xml:space="preserve">Laser Cutter</t>
  </si>
  <si>
    <t xml:space="preserve">MCH-004</t>
  </si>
  <si>
    <t xml:space="preserve">Press Brake</t>
  </si>
  <si>
    <t xml:space="preserve">MCH-005</t>
  </si>
  <si>
    <t xml:space="preserve">Welding Station</t>
  </si>
  <si>
    <t xml:space="preserve">MCH-006</t>
  </si>
  <si>
    <t xml:space="preserve">Assembly Station</t>
  </si>
  <si>
    <t xml:space="preserve">MACHINE OPERATIONS FOR SELECTED SKU</t>
  </si>
  <si>
    <t xml:space="preserve">Operation</t>
  </si>
  <si>
    <t xml:space="preserve">Cycle Time (hrs/unit)</t>
  </si>
  <si>
    <t xml:space="preserve">Run Cost</t>
  </si>
  <si>
    <t xml:space="preserve">Total Cost</t>
  </si>
  <si>
    <t xml:space="preserve">Primary Turning</t>
  </si>
  <si>
    <t xml:space="preserve">5-Axis Milling</t>
  </si>
  <si>
    <t xml:space="preserve">Laser Marking</t>
  </si>
  <si>
    <t xml:space="preserve">Assembly Fixturing</t>
  </si>
  <si>
    <t xml:space="preserve">TOTAL MACHINE COST:</t>
  </si>
  <si>
    <t xml:space="preserve">MACHINE COST PER UNIT:</t>
  </si>
  <si>
    <t xml:space="preserve">🔧 TOOLING &amp; SETUP COSTS</t>
  </si>
  <si>
    <t xml:space="preserve">Expected Production Volume:</t>
  </si>
  <si>
    <t xml:space="preserve">NON-RECURRING ENGINEERING (NRE) COSTS</t>
  </si>
  <si>
    <t xml:space="preserve">Item</t>
  </si>
  <si>
    <t xml:space="preserve">Amortized Qty</t>
  </si>
  <si>
    <t xml:space="preserve">Cost/Unit</t>
  </si>
  <si>
    <t xml:space="preserve">Design Engineering</t>
  </si>
  <si>
    <t xml:space="preserve">CAD/CAM programming</t>
  </si>
  <si>
    <t xml:space="preserve">Fixture Design</t>
  </si>
  <si>
    <t xml:space="preserve">Custom workholding</t>
  </si>
  <si>
    <t xml:space="preserve">Prototype Tooling</t>
  </si>
  <si>
    <t xml:space="preserve">Initial samples</t>
  </si>
  <si>
    <t xml:space="preserve">Testing &amp; Validation</t>
  </si>
  <si>
    <t xml:space="preserve">First article inspection</t>
  </si>
  <si>
    <t xml:space="preserve">Total NRE:</t>
  </si>
  <si>
    <t xml:space="preserve">RECURRING TOOLING COSTS</t>
  </si>
  <si>
    <t xml:space="preserve">Tool Type</t>
  </si>
  <si>
    <t xml:space="preserve">Unit Cost</t>
  </si>
  <si>
    <t xml:space="preserve">Tool Life (units)</t>
  </si>
  <si>
    <t xml:space="preserve">Cutting Inserts</t>
  </si>
  <si>
    <t xml:space="preserve">Carbide inserts for lathe</t>
  </si>
  <si>
    <t xml:space="preserve">End Mills</t>
  </si>
  <si>
    <t xml:space="preserve">Solid carbide end mills</t>
  </si>
  <si>
    <t xml:space="preserve">Drill Bits</t>
  </si>
  <si>
    <t xml:space="preserve">Coated HSS drills</t>
  </si>
  <si>
    <t xml:space="preserve">Taps</t>
  </si>
  <si>
    <t xml:space="preserve">Thread forming taps</t>
  </si>
  <si>
    <t xml:space="preserve">Total Recurring Tooling/Unit:</t>
  </si>
  <si>
    <t xml:space="preserve">TOTAL TOOLING COST PER UNIT:</t>
  </si>
  <si>
    <t xml:space="preserve">✅ QUALITY &amp; INSPECTION COSTS</t>
  </si>
  <si>
    <t xml:space="preserve">Method</t>
  </si>
  <si>
    <t xml:space="preserve">Time (min/unit)</t>
  </si>
  <si>
    <t xml:space="preserve">% of Units</t>
  </si>
  <si>
    <t xml:space="preserve">Effective Cost/Unit</t>
  </si>
  <si>
    <t xml:space="preserve">Incoming</t>
  </si>
  <si>
    <t xml:space="preserve">Material verification</t>
  </si>
  <si>
    <t xml:space="preserve">Visual + Cert</t>
  </si>
  <si>
    <t xml:space="preserve">First Article</t>
  </si>
  <si>
    <t xml:space="preserve">Initial setup validation</t>
  </si>
  <si>
    <t xml:space="preserve">CMM</t>
  </si>
  <si>
    <t xml:space="preserve">In-Process</t>
  </si>
  <si>
    <t xml:space="preserve">Dimensional checks</t>
  </si>
  <si>
    <t xml:space="preserve">Go/No-Go</t>
  </si>
  <si>
    <t xml:space="preserve">Final</t>
  </si>
  <si>
    <t xml:space="preserve">Complete inspection</t>
  </si>
  <si>
    <t xml:space="preserve">CMM + Visual</t>
  </si>
  <si>
    <t xml:space="preserve">Packaging verification</t>
  </si>
  <si>
    <t xml:space="preserve">Visual</t>
  </si>
  <si>
    <t xml:space="preserve">CERTIFICATION &amp; DOCUMENTATION</t>
  </si>
  <si>
    <t xml:space="preserve">Per Batch Size</t>
  </si>
  <si>
    <t xml:space="preserve">Certificate of Conformance</t>
  </si>
  <si>
    <t xml:space="preserve">CoC documentation</t>
  </si>
  <si>
    <t xml:space="preserve">Material Certs</t>
  </si>
  <si>
    <t xml:space="preserve">Mill test reports</t>
  </si>
  <si>
    <t xml:space="preserve">Test Reports</t>
  </si>
  <si>
    <t xml:space="preserve">Inspection data package</t>
  </si>
  <si>
    <t xml:space="preserve">TOTAL QUALITY COST PER UNIT:</t>
  </si>
  <si>
    <t xml:space="preserve">📦 PACKAGING COSTS</t>
  </si>
  <si>
    <t xml:space="preserve">UNIT PACKAGING</t>
  </si>
  <si>
    <t xml:space="preserve">Individual Box</t>
  </si>
  <si>
    <t xml:space="preserve">Corrugated box 10x8x6</t>
  </si>
  <si>
    <t xml:space="preserve">Inner Foam</t>
  </si>
  <si>
    <t xml:space="preserve">PE foam insert</t>
  </si>
  <si>
    <t xml:space="preserve">Desiccant</t>
  </si>
  <si>
    <t xml:space="preserve">Silica gel packet</t>
  </si>
  <si>
    <t xml:space="preserve">Poly Bag</t>
  </si>
  <si>
    <t xml:space="preserve">Anti-static bag</t>
  </si>
  <si>
    <t xml:space="preserve">Label</t>
  </si>
  <si>
    <t xml:space="preserve">Product identification</t>
  </si>
  <si>
    <t xml:space="preserve">Documentation</t>
  </si>
  <si>
    <t xml:space="preserve">User manual/warranty</t>
  </si>
  <si>
    <t xml:space="preserve">Total Unit Packaging:</t>
  </si>
  <si>
    <t xml:space="preserve">MASTER CARTON PACKAGING</t>
  </si>
  <si>
    <t xml:space="preserve">Units/Carton</t>
  </si>
  <si>
    <t xml:space="preserve">Master Carton</t>
  </si>
  <si>
    <t xml:space="preserve">Heavy duty box</t>
  </si>
  <si>
    <t xml:space="preserve">Pallet Wrap</t>
  </si>
  <si>
    <t xml:space="preserve">Stretch film</t>
  </si>
  <si>
    <t xml:space="preserve">Corner Protectors</t>
  </si>
  <si>
    <t xml:space="preserve">Cardboard corners</t>
  </si>
  <si>
    <t xml:space="preserve">Pallet</t>
  </si>
  <si>
    <t xml:space="preserve">Wooden pallet (prorated)</t>
  </si>
  <si>
    <t xml:space="preserve">Total Master Carton/Unit:</t>
  </si>
  <si>
    <t xml:space="preserve">TOTAL PACKAGING COST PER UNIT:</t>
  </si>
  <si>
    <t xml:space="preserve">🚚 SHIPPING &amp; LOGISTICS COSTS</t>
  </si>
  <si>
    <t xml:space="preserve">Shipment Quantity:</t>
  </si>
  <si>
    <t xml:space="preserve">PRODUCT SPECIFICATIONS</t>
  </si>
  <si>
    <t xml:space="preserve">Unit Weight (kg):</t>
  </si>
  <si>
    <t xml:space="preserve">Unit Volume (m³):</t>
  </si>
  <si>
    <t xml:space="preserve">Units per Carton:</t>
  </si>
  <si>
    <t xml:space="preserve">Carton Weight (kg):</t>
  </si>
  <si>
    <t xml:space="preserve">Carton Dimensions (cm):</t>
  </si>
  <si>
    <t xml:space="preserve">50x40x30</t>
  </si>
  <si>
    <t xml:space="preserve">FREIGHT OPTIONS</t>
  </si>
  <si>
    <t xml:space="preserve">Mode</t>
  </si>
  <si>
    <t xml:space="preserve">Origin</t>
  </si>
  <si>
    <t xml:space="preserve">Destination</t>
  </si>
  <si>
    <t xml:space="preserve">Transit Days</t>
  </si>
  <si>
    <t xml:space="preserve">Rate/kg</t>
  </si>
  <si>
    <t xml:space="preserve">Min Charge</t>
  </si>
  <si>
    <t xml:space="preserve">Total Freight</t>
  </si>
  <si>
    <t xml:space="preserve">Sea Freight (FCL)</t>
  </si>
  <si>
    <t xml:space="preserve">Shanghai, CN</t>
  </si>
  <si>
    <t xml:space="preserve">Los Angeles, US</t>
  </si>
  <si>
    <t xml:space="preserve">Sea Freight (LCL)</t>
  </si>
  <si>
    <t xml:space="preserve">Air Freight</t>
  </si>
  <si>
    <t xml:space="preserve">Air Express</t>
  </si>
  <si>
    <t xml:space="preserve">Ground (Domestic)</t>
  </si>
  <si>
    <t xml:space="preserve">Chicago, US</t>
  </si>
  <si>
    <t xml:space="preserve">ADDITIONAL LOGISTICS COSTS</t>
  </si>
  <si>
    <t xml:space="preserve">Per Qty</t>
  </si>
  <si>
    <t xml:space="preserve">Customs Clearance</t>
  </si>
  <si>
    <t xml:space="preserve">Import documentation</t>
  </si>
  <si>
    <t xml:space="preserve">Duties &amp; Tariffs</t>
  </si>
  <si>
    <t xml:space="preserve">Import duties @ 5%</t>
  </si>
  <si>
    <t xml:space="preserve">Insurance</t>
  </si>
  <si>
    <t xml:space="preserve">Cargo insurance</t>
  </si>
  <si>
    <t xml:space="preserve">Handling</t>
  </si>
  <si>
    <t xml:space="preserve">Warehouse handling</t>
  </si>
  <si>
    <t xml:space="preserve">SELECTED FREIGHT MODE:</t>
  </si>
  <si>
    <t xml:space="preserve">TOTAL LOGISTICS COST PER UNIT:</t>
  </si>
  <si>
    <t xml:space="preserve">📊 COST SUMMARY &amp; ANALYSIS</t>
  </si>
  <si>
    <t xml:space="preserve">Selected SKU:</t>
  </si>
  <si>
    <t xml:space="preserve">Product:</t>
  </si>
  <si>
    <t xml:space="preserve">Batch Size:</t>
  </si>
  <si>
    <t xml:space="preserve">COST BREAKDOWN</t>
  </si>
  <si>
    <t xml:space="preserve">Total Batch Cost</t>
  </si>
  <si>
    <t xml:space="preserve">Cost Per Unit</t>
  </si>
  <si>
    <t xml:space="preserve">% of Total</t>
  </si>
  <si>
    <t xml:space="preserve">Raw Materials (BOM)</t>
  </si>
  <si>
    <t xml:space="preserve">Direct Labor</t>
  </si>
  <si>
    <t xml:space="preserve">Machine Costs</t>
  </si>
  <si>
    <t xml:space="preserve">Tooling &amp; Setup</t>
  </si>
  <si>
    <t xml:space="preserve">Quality &amp; Inspection</t>
  </si>
  <si>
    <t xml:space="preserve">Logistics (per unit)</t>
  </si>
  <si>
    <t xml:space="preserve">TOTAL DIRECT COST</t>
  </si>
  <si>
    <t xml:space="preserve">OVERHEAD ALLOCATION</t>
  </si>
  <si>
    <t xml:space="preserve">TOTAL OVERHEAD</t>
  </si>
  <si>
    <t xml:space="preserve">TOTAL MANUFACTURING COST</t>
  </si>
  <si>
    <t xml:space="preserve">PRICING CALCULATOR</t>
  </si>
  <si>
    <t xml:space="preserve">Order Quantity:</t>
  </si>
  <si>
    <t xml:space="preserve">Markup Tier:</t>
  </si>
  <si>
    <t xml:space="preserve">Markup %:</t>
  </si>
  <si>
    <t xml:space="preserve">UNIT SELLING PRICE:</t>
  </si>
  <si>
    <t xml:space="preserve">GROSS PROFIT/UNIT:</t>
  </si>
  <si>
    <t xml:space="preserve">GROSS MARGIN %:</t>
  </si>
  <si>
    <t xml:space="preserve">📋 CUSTOMER QUOTATION</t>
  </si>
  <si>
    <t xml:space="preserve">QUOTE INFORMATION</t>
  </si>
  <si>
    <t xml:space="preserve">CUSTOMER INFORMATION</t>
  </si>
  <si>
    <t xml:space="preserve">Quote Number:</t>
  </si>
  <si>
    <t xml:space="preserve">Q-2024-001</t>
  </si>
  <si>
    <t xml:space="preserve">Company Name:</t>
  </si>
  <si>
    <t xml:space="preserve">Quote Date:</t>
  </si>
  <si>
    <t xml:space="preserve">2026-01-19</t>
  </si>
  <si>
    <t xml:space="preserve">Contact Person:</t>
  </si>
  <si>
    <t xml:space="preserve">Valid Until:</t>
  </si>
  <si>
    <t xml:space="preserve">Email:</t>
  </si>
  <si>
    <t xml:space="preserve">Revision:</t>
  </si>
  <si>
    <t xml:space="preserve">1</t>
  </si>
  <si>
    <t xml:space="preserve">Phone:</t>
  </si>
  <si>
    <t xml:space="preserve">Prepared By:</t>
  </si>
  <si>
    <t xml:space="preserve">Address:</t>
  </si>
  <si>
    <t xml:space="preserve">QUOTED ITEMS</t>
  </si>
  <si>
    <t xml:space="preserve">Line</t>
  </si>
  <si>
    <t xml:space="preserve">Quantity</t>
  </si>
  <si>
    <t xml:space="preserve">Unit Price</t>
  </si>
  <si>
    <t xml:space="preserve">Extended Price</t>
  </si>
  <si>
    <t xml:space="preserve">4-6 weeks</t>
  </si>
  <si>
    <t xml:space="preserve">SUBTOTAL:</t>
  </si>
  <si>
    <t xml:space="preserve">Shipping &amp; Handling:</t>
  </si>
  <si>
    <t xml:space="preserve">Tax (if applicable):</t>
  </si>
  <si>
    <t xml:space="preserve">TOTAL:</t>
  </si>
  <si>
    <t xml:space="preserve">TERMS &amp; CONDITIONS</t>
  </si>
  <si>
    <t xml:space="preserve">1. Payment Terms: Net 30 days from invoice date</t>
  </si>
  <si>
    <t xml:space="preserve">2. Delivery: FOB Origin unless otherwise specified</t>
  </si>
  <si>
    <t xml:space="preserve">3. Validity: This quote is valid for 30 days from date of issue</t>
  </si>
  <si>
    <t xml:space="preserve">4. Prices: Subject to change based on raw material costs</t>
  </si>
  <si>
    <t xml:space="preserve">5. Minimum Order: As specified per line item</t>
  </si>
  <si>
    <t xml:space="preserve">6. Tooling: NRE charges may apply for new products</t>
  </si>
  <si>
    <t xml:space="preserve">REVISION HISTORY</t>
  </si>
  <si>
    <t xml:space="preserve">Rev</t>
  </si>
  <si>
    <t xml:space="preserve">Date</t>
  </si>
  <si>
    <t xml:space="preserve">By</t>
  </si>
  <si>
    <t xml:space="preserve">Initial quote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</si>
</sst>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\$#,##0.00"/>
    <numFmt numFmtId="167" formatCode="0.0%"/>
    <numFmt numFmtId="168" formatCode="0.0"/>
    <numFmt numFmtId="169" formatCode="#,##0"/>
    <numFmt numFmtId="170" formatCode="0.0000"/>
    <numFmt numFmtId="171" formatCode="0.00%"/>
    <numFmt numFmtId="172" formatCode="#,##0.00"/>
    <numFmt numFmtId="173" formatCode="\$#,##0.0000"/>
    <numFmt numFmtId="174" formatCode="0.00"/>
    <numFmt numFmtId="175" formatCode="0.000"/>
    <numFmt numFmtId="17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Cambria"/>
      <family val="0"/>
      <charset val="1"/>
    </font>
    <font>
      <sz val="10"/>
      <name val="Arial"/>
      <family val="2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00640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DEEAF6"/>
      </patternFill>
    </fill>
    <fill>
      <patternFill patternType="solid">
        <fgColor rgb="FF1F4E79"/>
        <bgColor rgb="FF003366"/>
      </patternFill>
    </fill>
    <fill>
      <patternFill patternType="solid">
        <fgColor rgb="FFDEEAF6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90EE9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FF2CC"/>
      <rgbColor rgb="FFDEEAF6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0EE90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64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Dashboard!B14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Dashboard!$A$15:$A$22</c:f>
              <c:strCache>
                <c:ptCount val="8"/>
                <c:pt idx="0">
                  <c:v>Materials</c:v>
                </c:pt>
                <c:pt idx="1">
                  <c:v>Labor</c:v>
                </c:pt>
                <c:pt idx="2">
                  <c:v>Machines</c:v>
                </c:pt>
                <c:pt idx="3">
                  <c:v>Tooling</c:v>
                </c:pt>
                <c:pt idx="4">
                  <c:v>Quality</c:v>
                </c:pt>
                <c:pt idx="5">
                  <c:v>Packaging</c:v>
                </c:pt>
                <c:pt idx="6">
                  <c:v>Logistics</c:v>
                </c:pt>
                <c:pt idx="7">
                  <c:v>Overhead</c:v>
                </c:pt>
              </c:strCache>
            </c:strRef>
          </c:cat>
          <c:val>
            <c:numRef>
              <c:f>Dashboard!$B$15:$B$22</c:f>
              <c:numCache>
                <c:formatCode>\$#,##0.00</c:formatCode>
                <c:ptCount val="8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Quality Rating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Dashboard!$A$28:$A$32</c:f>
              <c:strCache>
                <c:ptCount val="5"/>
                <c:pt idx="0">
                  <c:v>Alpha Manufacturing Co.</c:v>
                </c:pt>
                <c:pt idx="1">
                  <c:v>Beta Components Ltd.</c:v>
                </c:pt>
                <c:pt idx="2">
                  <c:v>Gamma Industries</c:v>
                </c:pt>
                <c:pt idx="3">
                  <c:v>Delta Precision</c:v>
                </c:pt>
                <c:pt idx="4">
                  <c:v>Epsilon Trading</c:v>
                </c:pt>
              </c:strCache>
            </c:strRef>
          </c:cat>
          <c:val>
            <c:numRef>
              <c:f>Dashboard!$B$28:$B$32</c:f>
              <c:numCache>
                <c:formatCode>0.0</c:formatCode>
                <c:ptCount val="5"/>
                <c:pt idx="0">
                  <c:v>4.2</c:v>
                </c:pt>
                <c:pt idx="1">
                  <c:v>4.8</c:v>
                </c:pt>
                <c:pt idx="2">
                  <c:v>3.8</c:v>
                </c:pt>
                <c:pt idx="3">
                  <c:v>4.5</c:v>
                </c:pt>
                <c:pt idx="4">
                  <c:v>4.6</c:v>
                </c:pt>
              </c:numCache>
            </c:numRef>
          </c:val>
        </c:ser>
        <c:ser>
          <c:idx val="1"/>
          <c:order val="1"/>
          <c:tx>
            <c:strRef>
              <c:f>Dashboard!C27</c:f>
              <c:strCache>
                <c:ptCount val="1"/>
                <c:pt idx="0">
                  <c:v>Reliability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Dashboard!$A$28:$A$32</c:f>
              <c:strCache>
                <c:ptCount val="5"/>
                <c:pt idx="0">
                  <c:v>Alpha Manufacturing Co.</c:v>
                </c:pt>
                <c:pt idx="1">
                  <c:v>Beta Components Ltd.</c:v>
                </c:pt>
                <c:pt idx="2">
                  <c:v>Gamma Industries</c:v>
                </c:pt>
                <c:pt idx="3">
                  <c:v>Delta Precision</c:v>
                </c:pt>
                <c:pt idx="4">
                  <c:v>Epsilon Trading</c:v>
                </c:pt>
              </c:strCache>
            </c:strRef>
          </c:cat>
          <c:val>
            <c:numRef>
              <c:f>Dashboard!$C$28:$C$32</c:f>
              <c:numCache>
                <c:formatCode>0.0</c:formatCode>
                <c:ptCount val="5"/>
                <c:pt idx="0">
                  <c:v>4.5</c:v>
                </c:pt>
                <c:pt idx="1">
                  <c:v>4.9</c:v>
                </c:pt>
                <c:pt idx="2">
                  <c:v>4</c:v>
                </c:pt>
                <c:pt idx="3">
                  <c:v>4.7</c:v>
                </c:pt>
                <c:pt idx="4">
                  <c:v>4.4</c:v>
                </c:pt>
              </c:numCache>
            </c:numRef>
          </c:val>
        </c:ser>
        <c:gapWidth val="150"/>
        <c:overlap val="0"/>
        <c:axId val="55864075"/>
        <c:axId val="67247430"/>
      </c:barChart>
      <c:catAx>
        <c:axId val="55864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47430"/>
        <c:crosses val="autoZero"/>
        <c:auto val="1"/>
        <c:lblAlgn val="ctr"/>
        <c:lblOffset val="100"/>
        <c:noMultiLvlLbl val="0"/>
      </c:catAx>
      <c:valAx>
        <c:axId val="67247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(0-5)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4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762120</xdr:rowOff>
    </xdr:from>
    <xdr:to>
      <xdr:col>9</xdr:col>
      <xdr:colOff>604440</xdr:colOff>
      <xdr:row>18</xdr:row>
      <xdr:rowOff>121320</xdr:rowOff>
    </xdr:to>
    <xdr:graphicFrame>
      <xdr:nvGraphicFramePr>
        <xdr:cNvPr id="0" name="Chart 1"/>
        <xdr:cNvGraphicFramePr/>
      </xdr:nvGraphicFramePr>
      <xdr:xfrm>
        <a:off x="4933800" y="76212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140760</xdr:rowOff>
    </xdr:from>
    <xdr:to>
      <xdr:col>9</xdr:col>
      <xdr:colOff>604440</xdr:colOff>
      <xdr:row>35</xdr:row>
      <xdr:rowOff>163080</xdr:rowOff>
    </xdr:to>
    <xdr:graphicFrame>
      <xdr:nvGraphicFramePr>
        <xdr:cNvPr id="1" name="Chart 2"/>
        <xdr:cNvGraphicFramePr/>
      </xdr:nvGraphicFramePr>
      <xdr:xfrm>
        <a:off x="4933800" y="4762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4"/>
  </cols>
  <sheetData>
    <row r="1" customFormat="false" ht="6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e">
        <f aca="false">"Cost Summary"!B3</f>
        <v>#VALUE!</v>
      </c>
      <c r="C3" s="2" t="e">
        <f aca="false">"Cost Summary"!D3</f>
        <v>#VALUE!</v>
      </c>
    </row>
    <row r="5" customFormat="false" ht="15" hidden="false" customHeight="false" outlineLevel="0" collapsed="false">
      <c r="A5" s="3" t="s">
        <v>2</v>
      </c>
    </row>
    <row r="6" customFormat="false" ht="17.35" hidden="false" customHeight="false" outlineLevel="0" collapsed="false">
      <c r="A6" s="4" t="s">
        <v>3</v>
      </c>
      <c r="B6" s="5" t="e">
        <f aca="false">"Cost Summary"!C22</f>
        <v>#VALUE!</v>
      </c>
    </row>
    <row r="7" customFormat="false" ht="17.35" hidden="false" customHeight="false" outlineLevel="0" collapsed="false">
      <c r="A7" s="4" t="s">
        <v>4</v>
      </c>
      <c r="B7" s="5" t="e">
        <f aca="false">"Cost Summary"!B30</f>
        <v>#VALUE!</v>
      </c>
    </row>
    <row r="8" customFormat="false" ht="17.35" hidden="false" customHeight="false" outlineLevel="0" collapsed="false">
      <c r="A8" s="4" t="s">
        <v>5</v>
      </c>
      <c r="B8" s="6" t="e">
        <f aca="false">"Cost Summary"!B32</f>
        <v>#VALUE!</v>
      </c>
    </row>
    <row r="9" customFormat="false" ht="17.35" hidden="false" customHeight="false" outlineLevel="0" collapsed="false">
      <c r="A9" s="4" t="s">
        <v>6</v>
      </c>
      <c r="B9" s="6" t="e">
        <f aca="false">IFERROR("Cost Summary"!C7/"Cost Summary"!C22,0)</f>
        <v>#VALUE!</v>
      </c>
    </row>
    <row r="10" customFormat="false" ht="17.35" hidden="false" customHeight="false" outlineLevel="0" collapsed="false">
      <c r="A10" s="4" t="s">
        <v>7</v>
      </c>
      <c r="B10" s="6" t="e">
        <f aca="false">IFERROR("Cost Summary"!C8/"Cost Summary"!C22,0)</f>
        <v>#VALUE!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7" t="s">
        <v>9</v>
      </c>
      <c r="B14" s="7" t="s">
        <v>10</v>
      </c>
    </row>
    <row r="15" customFormat="false" ht="15" hidden="false" customHeight="false" outlineLevel="0" collapsed="false">
      <c r="A15" s="7" t="s">
        <v>11</v>
      </c>
      <c r="B15" s="8" t="e">
        <f aca="false">"Cost Summary"!C7</f>
        <v>#VALUE!</v>
      </c>
    </row>
    <row r="16" customFormat="false" ht="15" hidden="false" customHeight="false" outlineLevel="0" collapsed="false">
      <c r="A16" s="7" t="s">
        <v>12</v>
      </c>
      <c r="B16" s="8" t="e">
        <f aca="false">"Cost Summary"!C8</f>
        <v>#VALUE!</v>
      </c>
    </row>
    <row r="17" customFormat="false" ht="15" hidden="false" customHeight="false" outlineLevel="0" collapsed="false">
      <c r="A17" s="7" t="s">
        <v>13</v>
      </c>
      <c r="B17" s="8" t="e">
        <f aca="false">"Cost Summary"!C9</f>
        <v>#VALUE!</v>
      </c>
    </row>
    <row r="18" customFormat="false" ht="15" hidden="false" customHeight="false" outlineLevel="0" collapsed="false">
      <c r="A18" s="7" t="s">
        <v>14</v>
      </c>
      <c r="B18" s="8" t="e">
        <f aca="false">"Cost Summary"!C10</f>
        <v>#VALUE!</v>
      </c>
    </row>
    <row r="19" customFormat="false" ht="15" hidden="false" customHeight="false" outlineLevel="0" collapsed="false">
      <c r="A19" s="7" t="s">
        <v>15</v>
      </c>
      <c r="B19" s="8" t="e">
        <f aca="false">"Cost Summary"!C11</f>
        <v>#VALUE!</v>
      </c>
    </row>
    <row r="20" customFormat="false" ht="15" hidden="false" customHeight="false" outlineLevel="0" collapsed="false">
      <c r="A20" s="7" t="s">
        <v>16</v>
      </c>
      <c r="B20" s="8" t="e">
        <f aca="false">"Cost Summary"!C12</f>
        <v>#VALUE!</v>
      </c>
    </row>
    <row r="21" customFormat="false" ht="15" hidden="false" customHeight="false" outlineLevel="0" collapsed="false">
      <c r="A21" s="7" t="s">
        <v>17</v>
      </c>
      <c r="B21" s="8" t="e">
        <f aca="false">"Cost Summary"!C13</f>
        <v>#VALUE!</v>
      </c>
    </row>
    <row r="22" customFormat="false" ht="15" hidden="false" customHeight="false" outlineLevel="0" collapsed="false">
      <c r="A22" s="7" t="s">
        <v>18</v>
      </c>
      <c r="B22" s="8" t="e">
        <f aca="false">"Cost Summary"!C20</f>
        <v>#VALUE!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9" t="s">
        <v>20</v>
      </c>
      <c r="B27" s="9" t="s">
        <v>21</v>
      </c>
      <c r="C27" s="9" t="s">
        <v>22</v>
      </c>
      <c r="D27" s="9" t="s">
        <v>23</v>
      </c>
    </row>
    <row r="28" customFormat="false" ht="15" hidden="false" customHeight="false" outlineLevel="0" collapsed="false">
      <c r="A28" s="10" t="str">
        <f aca="false">Suppliers!B4</f>
        <v>Alpha Manufacturing Co.</v>
      </c>
      <c r="B28" s="11" t="n">
        <f aca="false">Suppliers!H4</f>
        <v>4.2</v>
      </c>
      <c r="C28" s="11" t="n">
        <f aca="false">Suppliers!I4</f>
        <v>4.5</v>
      </c>
      <c r="D28" s="12" t="n">
        <f aca="false">Suppliers!E4</f>
        <v>21</v>
      </c>
    </row>
    <row r="29" customFormat="false" ht="15" hidden="false" customHeight="false" outlineLevel="0" collapsed="false">
      <c r="A29" s="10" t="str">
        <f aca="false">Suppliers!B5</f>
        <v>Beta Components Ltd.</v>
      </c>
      <c r="B29" s="11" t="n">
        <f aca="false">Suppliers!H5</f>
        <v>4.8</v>
      </c>
      <c r="C29" s="11" t="n">
        <f aca="false">Suppliers!I5</f>
        <v>4.9</v>
      </c>
      <c r="D29" s="12" t="n">
        <f aca="false">Suppliers!E5</f>
        <v>14</v>
      </c>
    </row>
    <row r="30" customFormat="false" ht="15" hidden="false" customHeight="false" outlineLevel="0" collapsed="false">
      <c r="A30" s="10" t="str">
        <f aca="false">Suppliers!B6</f>
        <v>Gamma Industries</v>
      </c>
      <c r="B30" s="11" t="n">
        <f aca="false">Suppliers!H6</f>
        <v>3.8</v>
      </c>
      <c r="C30" s="11" t="n">
        <f aca="false">Suppliers!I6</f>
        <v>4</v>
      </c>
      <c r="D30" s="12" t="n">
        <f aca="false">Suppliers!E6</f>
        <v>28</v>
      </c>
    </row>
    <row r="31" customFormat="false" ht="15" hidden="false" customHeight="false" outlineLevel="0" collapsed="false">
      <c r="A31" s="10" t="str">
        <f aca="false">Suppliers!B7</f>
        <v>Delta Precision</v>
      </c>
      <c r="B31" s="11" t="n">
        <f aca="false">Suppliers!H7</f>
        <v>4.5</v>
      </c>
      <c r="C31" s="11" t="n">
        <f aca="false">Suppliers!I7</f>
        <v>4.7</v>
      </c>
      <c r="D31" s="12" t="n">
        <f aca="false">Suppliers!E7</f>
        <v>7</v>
      </c>
    </row>
    <row r="32" customFormat="false" ht="15" hidden="false" customHeight="false" outlineLevel="0" collapsed="false">
      <c r="A32" s="10" t="str">
        <f aca="false">Suppliers!B8</f>
        <v>Epsilon Trading</v>
      </c>
      <c r="B32" s="11" t="n">
        <f aca="false">Suppliers!H8</f>
        <v>4.6</v>
      </c>
      <c r="C32" s="11" t="n">
        <f aca="false">Suppliers!I8</f>
        <v>4.4</v>
      </c>
      <c r="D32" s="12" t="n">
        <f aca="false">Suppliers!E8</f>
        <v>18</v>
      </c>
    </row>
    <row r="36" customFormat="false" ht="15" hidden="false" customHeight="false" outlineLevel="0" collapsed="false">
      <c r="A36" s="3" t="s">
        <v>24</v>
      </c>
    </row>
    <row r="37" customFormat="false" ht="15" hidden="false" customHeight="false" outlineLevel="0" collapsed="false">
      <c r="A37" s="13" t="s">
        <v>25</v>
      </c>
      <c r="B37" s="13"/>
      <c r="C37" s="13"/>
      <c r="D37" s="13"/>
      <c r="E37" s="13"/>
      <c r="F37" s="13"/>
    </row>
    <row r="38" customFormat="false" ht="15" hidden="false" customHeight="false" outlineLevel="0" collapsed="false">
      <c r="A38" s="13" t="s">
        <v>26</v>
      </c>
      <c r="B38" s="13"/>
      <c r="C38" s="13"/>
      <c r="D38" s="13"/>
      <c r="E38" s="13"/>
      <c r="F38" s="13"/>
    </row>
    <row r="39" customFormat="false" ht="15" hidden="false" customHeight="false" outlineLevel="0" collapsed="false">
      <c r="A39" s="13" t="s">
        <v>27</v>
      </c>
      <c r="B39" s="13"/>
      <c r="C39" s="13"/>
      <c r="D39" s="13"/>
      <c r="E39" s="13"/>
      <c r="F39" s="13"/>
    </row>
    <row r="40" customFormat="false" ht="15" hidden="false" customHeight="false" outlineLevel="0" collapsed="false">
      <c r="A40" s="13" t="s">
        <v>28</v>
      </c>
      <c r="B40" s="13"/>
      <c r="C40" s="13"/>
      <c r="D40" s="13"/>
      <c r="E40" s="13"/>
      <c r="F40" s="13"/>
    </row>
    <row r="41" customFormat="false" ht="15" hidden="false" customHeight="false" outlineLevel="0" collapsed="false">
      <c r="A41" s="13" t="s">
        <v>29</v>
      </c>
      <c r="B41" s="13"/>
      <c r="C41" s="13"/>
      <c r="D41" s="13"/>
      <c r="E41" s="13"/>
      <c r="F41" s="13"/>
    </row>
    <row r="42" customFormat="false" ht="15" hidden="false" customHeight="false" outlineLevel="0" collapsed="false">
      <c r="A42" s="13" t="s">
        <v>30</v>
      </c>
      <c r="B42" s="13"/>
      <c r="C42" s="13"/>
      <c r="D42" s="13"/>
      <c r="E42" s="13"/>
      <c r="F42" s="13"/>
    </row>
    <row r="43" customFormat="false" ht="15" hidden="false" customHeight="false" outlineLevel="0" collapsed="false">
      <c r="A43" s="13" t="s">
        <v>31</v>
      </c>
      <c r="B43" s="13"/>
      <c r="C43" s="13"/>
      <c r="D43" s="13"/>
      <c r="E43" s="13"/>
      <c r="F43" s="13"/>
    </row>
    <row r="44" customFormat="false" ht="15" hidden="false" customHeight="false" outlineLevel="0" collapsed="false">
      <c r="A44" s="13" t="s">
        <v>32</v>
      </c>
      <c r="B44" s="13"/>
      <c r="C44" s="13"/>
      <c r="D44" s="13"/>
      <c r="E44" s="13"/>
      <c r="F44" s="13"/>
    </row>
    <row r="45" customFormat="false" ht="15" hidden="false" customHeight="false" outlineLevel="0" collapsed="false">
      <c r="A45" s="13" t="s">
        <v>33</v>
      </c>
      <c r="B45" s="13"/>
      <c r="C45" s="13"/>
      <c r="D45" s="13"/>
      <c r="E45" s="13"/>
      <c r="F45" s="13"/>
    </row>
    <row r="46" customFormat="false" ht="15" hidden="false" customHeight="false" outlineLevel="0" collapsed="false">
      <c r="A46" s="13" t="s">
        <v>34</v>
      </c>
      <c r="B46" s="13"/>
      <c r="C46" s="13"/>
      <c r="D46" s="13"/>
      <c r="E46" s="13"/>
      <c r="F46" s="13"/>
    </row>
    <row r="47" customFormat="false" ht="15" hidden="false" customHeight="false" outlineLevel="0" collapsed="false">
      <c r="A47" s="13" t="s">
        <v>35</v>
      </c>
      <c r="B47" s="13"/>
      <c r="C47" s="13"/>
      <c r="D47" s="13"/>
      <c r="E47" s="13"/>
      <c r="F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</row>
    <row r="49" customFormat="false" ht="15" hidden="false" customHeight="false" outlineLevel="0" collapsed="false">
      <c r="A49" s="13" t="s">
        <v>36</v>
      </c>
      <c r="B49" s="13"/>
      <c r="C49" s="13"/>
      <c r="D49" s="13"/>
      <c r="E49" s="13"/>
      <c r="F49" s="13"/>
    </row>
  </sheetData>
  <mergeCells count="13"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34.3" hidden="false" customHeight="false" outlineLevel="0" collapsed="false">
      <c r="A1" s="1" t="s">
        <v>37</v>
      </c>
    </row>
    <row r="3" customFormat="false" ht="15" hidden="false" customHeight="false" outlineLevel="0" collapsed="false">
      <c r="A3" s="14" t="s">
        <v>38</v>
      </c>
      <c r="B3" s="14"/>
      <c r="C3" s="14"/>
      <c r="D3" s="14"/>
    </row>
    <row r="4" customFormat="false" ht="28.35" hidden="false" customHeight="false" outlineLevel="0" collapsed="false">
      <c r="A4" s="9" t="s">
        <v>39</v>
      </c>
      <c r="B4" s="9" t="s">
        <v>40</v>
      </c>
      <c r="C4" s="9" t="s">
        <v>41</v>
      </c>
      <c r="D4" s="9" t="s">
        <v>42</v>
      </c>
    </row>
    <row r="5" customFormat="false" ht="15" hidden="false" customHeight="false" outlineLevel="0" collapsed="false">
      <c r="A5" s="15" t="s">
        <v>43</v>
      </c>
      <c r="B5" s="16" t="s">
        <v>44</v>
      </c>
      <c r="C5" s="17" t="n">
        <v>1</v>
      </c>
      <c r="D5" s="16" t="s">
        <v>45</v>
      </c>
    </row>
    <row r="6" customFormat="false" ht="15" hidden="false" customHeight="false" outlineLevel="0" collapsed="false">
      <c r="A6" s="15" t="s">
        <v>46</v>
      </c>
      <c r="B6" s="16" t="s">
        <v>47</v>
      </c>
      <c r="C6" s="17" t="n">
        <v>1.085</v>
      </c>
      <c r="D6" s="16" t="s">
        <v>48</v>
      </c>
    </row>
    <row r="7" customFormat="false" ht="15" hidden="false" customHeight="false" outlineLevel="0" collapsed="false">
      <c r="A7" s="15" t="s">
        <v>49</v>
      </c>
      <c r="B7" s="16" t="s">
        <v>50</v>
      </c>
      <c r="C7" s="17" t="n">
        <v>1.265</v>
      </c>
      <c r="D7" s="16" t="s">
        <v>51</v>
      </c>
    </row>
    <row r="8" customFormat="false" ht="15" hidden="false" customHeight="false" outlineLevel="0" collapsed="false">
      <c r="A8" s="15" t="s">
        <v>52</v>
      </c>
      <c r="B8" s="16" t="s">
        <v>53</v>
      </c>
      <c r="C8" s="17" t="n">
        <v>0.138</v>
      </c>
      <c r="D8" s="16" t="s">
        <v>54</v>
      </c>
    </row>
    <row r="9" customFormat="false" ht="15" hidden="false" customHeight="false" outlineLevel="0" collapsed="false">
      <c r="A9" s="15" t="s">
        <v>55</v>
      </c>
      <c r="B9" s="16" t="s">
        <v>56</v>
      </c>
      <c r="C9" s="17" t="n">
        <v>0.012</v>
      </c>
      <c r="D9" s="16" t="s">
        <v>57</v>
      </c>
    </row>
    <row r="10" customFormat="false" ht="15" hidden="false" customHeight="false" outlineLevel="0" collapsed="false">
      <c r="A10" s="15" t="s">
        <v>58</v>
      </c>
      <c r="B10" s="16" t="s">
        <v>59</v>
      </c>
      <c r="C10" s="17" t="n">
        <v>0.0067</v>
      </c>
      <c r="D10" s="16" t="s">
        <v>54</v>
      </c>
    </row>
    <row r="12" customFormat="false" ht="15" hidden="false" customHeight="false" outlineLevel="0" collapsed="false">
      <c r="A12" s="4" t="s">
        <v>60</v>
      </c>
      <c r="B12" s="15" t="s">
        <v>43</v>
      </c>
    </row>
    <row r="15" customFormat="false" ht="15" hidden="false" customHeight="false" outlineLevel="0" collapsed="false">
      <c r="A15" s="14" t="s">
        <v>61</v>
      </c>
      <c r="B15" s="14"/>
      <c r="C15" s="14"/>
      <c r="D15" s="14"/>
    </row>
    <row r="16" customFormat="false" ht="15" hidden="false" customHeight="false" outlineLevel="0" collapsed="false">
      <c r="A16" s="9" t="s">
        <v>62</v>
      </c>
      <c r="B16" s="9" t="s">
        <v>63</v>
      </c>
      <c r="C16" s="9" t="s">
        <v>64</v>
      </c>
      <c r="D16" s="9" t="s">
        <v>65</v>
      </c>
    </row>
    <row r="17" customFormat="false" ht="15" hidden="false" customHeight="false" outlineLevel="0" collapsed="false">
      <c r="A17" s="18" t="s">
        <v>66</v>
      </c>
      <c r="B17" s="18" t="s">
        <v>67</v>
      </c>
      <c r="C17" s="19" t="n">
        <v>0.35</v>
      </c>
      <c r="D17" s="20" t="n">
        <f aca="false">C17/(1+C17)</f>
        <v>0.259259259259259</v>
      </c>
    </row>
    <row r="18" customFormat="false" ht="15" hidden="false" customHeight="false" outlineLevel="0" collapsed="false">
      <c r="A18" s="18" t="s">
        <v>68</v>
      </c>
      <c r="B18" s="18" t="s">
        <v>69</v>
      </c>
      <c r="C18" s="19" t="n">
        <v>0.28</v>
      </c>
      <c r="D18" s="20" t="n">
        <f aca="false">C18/(1+C18)</f>
        <v>0.21875</v>
      </c>
    </row>
    <row r="19" customFormat="false" ht="15" hidden="false" customHeight="false" outlineLevel="0" collapsed="false">
      <c r="A19" s="18" t="s">
        <v>70</v>
      </c>
      <c r="B19" s="18" t="s">
        <v>71</v>
      </c>
      <c r="C19" s="19" t="n">
        <v>0.22</v>
      </c>
      <c r="D19" s="20" t="n">
        <f aca="false">C19/(1+C19)</f>
        <v>0.180327868852459</v>
      </c>
    </row>
    <row r="20" customFormat="false" ht="15" hidden="false" customHeight="false" outlineLevel="0" collapsed="false">
      <c r="A20" s="18" t="s">
        <v>72</v>
      </c>
      <c r="B20" s="18" t="s">
        <v>73</v>
      </c>
      <c r="C20" s="19" t="n">
        <v>0.18</v>
      </c>
      <c r="D20" s="20" t="n">
        <f aca="false">C20/(1+C20)</f>
        <v>0.152542372881356</v>
      </c>
    </row>
    <row r="23" customFormat="false" ht="15" hidden="false" customHeight="false" outlineLevel="0" collapsed="false">
      <c r="A23" s="14" t="s">
        <v>74</v>
      </c>
      <c r="B23" s="14"/>
      <c r="C23" s="14"/>
      <c r="D23" s="14"/>
    </row>
    <row r="24" customFormat="false" ht="15" hidden="false" customHeight="false" outlineLevel="0" collapsed="false">
      <c r="A24" s="9" t="s">
        <v>75</v>
      </c>
      <c r="B24" s="9" t="s">
        <v>76</v>
      </c>
      <c r="C24" s="9" t="s">
        <v>77</v>
      </c>
      <c r="D24" s="9" t="s">
        <v>78</v>
      </c>
    </row>
    <row r="25" customFormat="false" ht="15" hidden="false" customHeight="false" outlineLevel="0" collapsed="false">
      <c r="A25" s="21" t="s">
        <v>79</v>
      </c>
      <c r="B25" s="21" t="s">
        <v>80</v>
      </c>
      <c r="C25" s="22" t="n">
        <v>0.85</v>
      </c>
      <c r="D25" s="21" t="s">
        <v>81</v>
      </c>
    </row>
    <row r="26" customFormat="false" ht="15" hidden="false" customHeight="false" outlineLevel="0" collapsed="false">
      <c r="A26" s="21" t="s">
        <v>82</v>
      </c>
      <c r="B26" s="21" t="s">
        <v>83</v>
      </c>
      <c r="C26" s="22" t="n">
        <v>0.12</v>
      </c>
      <c r="D26" s="21" t="s">
        <v>84</v>
      </c>
    </row>
    <row r="27" customFormat="false" ht="15" hidden="false" customHeight="false" outlineLevel="0" collapsed="false">
      <c r="A27" s="21" t="s">
        <v>85</v>
      </c>
      <c r="B27" s="21" t="s">
        <v>80</v>
      </c>
      <c r="C27" s="22" t="n">
        <v>0.15</v>
      </c>
      <c r="D27" s="21" t="s">
        <v>86</v>
      </c>
    </row>
    <row r="28" customFormat="false" ht="15" hidden="false" customHeight="false" outlineLevel="0" collapsed="false">
      <c r="A28" s="21" t="s">
        <v>87</v>
      </c>
      <c r="B28" s="21" t="s">
        <v>88</v>
      </c>
      <c r="C28" s="23" t="n">
        <v>25</v>
      </c>
      <c r="D28" s="21" t="s">
        <v>89</v>
      </c>
    </row>
    <row r="31" customFormat="false" ht="15" hidden="false" customHeight="false" outlineLevel="0" collapsed="false">
      <c r="A31" s="3" t="s">
        <v>90</v>
      </c>
    </row>
    <row r="32" customFormat="false" ht="15" hidden="false" customHeight="false" outlineLevel="0" collapsed="false">
      <c r="A32" s="9" t="s">
        <v>91</v>
      </c>
      <c r="B32" s="9" t="s">
        <v>92</v>
      </c>
    </row>
    <row r="33" customFormat="false" ht="15" hidden="false" customHeight="false" outlineLevel="0" collapsed="false">
      <c r="A33" s="21" t="s">
        <v>93</v>
      </c>
      <c r="B33" s="19" t="n">
        <v>0.02</v>
      </c>
    </row>
    <row r="34" customFormat="false" ht="15" hidden="false" customHeight="false" outlineLevel="0" collapsed="false">
      <c r="A34" s="21" t="s">
        <v>94</v>
      </c>
      <c r="B34" s="19" t="n">
        <v>0.03</v>
      </c>
    </row>
    <row r="35" customFormat="false" ht="15" hidden="false" customHeight="false" outlineLevel="0" collapsed="false">
      <c r="A35" s="21" t="s">
        <v>95</v>
      </c>
      <c r="B35" s="19" t="n">
        <v>0.025</v>
      </c>
    </row>
    <row r="36" customFormat="false" ht="15" hidden="false" customHeight="false" outlineLevel="0" collapsed="false">
      <c r="A36" s="21" t="s">
        <v>96</v>
      </c>
      <c r="B36" s="19" t="n">
        <v>0.01</v>
      </c>
    </row>
  </sheetData>
  <mergeCells count="3">
    <mergeCell ref="A3:D3"/>
    <mergeCell ref="A15:D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25"/>
  </cols>
  <sheetData>
    <row r="1" customFormat="false" ht="83.55" hidden="false" customHeight="false" outlineLevel="0" collapsed="false">
      <c r="A1" s="1" t="s">
        <v>97</v>
      </c>
    </row>
    <row r="3" customFormat="false" ht="28.35" hidden="false" customHeight="false" outlineLevel="0" collapsed="false">
      <c r="A3" s="9" t="s">
        <v>98</v>
      </c>
      <c r="B3" s="9" t="s">
        <v>99</v>
      </c>
      <c r="C3" s="9" t="s">
        <v>100</v>
      </c>
      <c r="D3" s="9" t="s">
        <v>101</v>
      </c>
      <c r="E3" s="9" t="s">
        <v>102</v>
      </c>
      <c r="F3" s="9" t="s">
        <v>103</v>
      </c>
      <c r="G3" s="9" t="s">
        <v>104</v>
      </c>
      <c r="H3" s="9" t="s">
        <v>21</v>
      </c>
      <c r="I3" s="9" t="s">
        <v>105</v>
      </c>
      <c r="J3" s="9" t="s">
        <v>106</v>
      </c>
      <c r="K3" s="9" t="s">
        <v>107</v>
      </c>
      <c r="L3" s="9" t="s">
        <v>78</v>
      </c>
    </row>
    <row r="4" customFormat="false" ht="15" hidden="false" customHeight="false" outlineLevel="0" collapsed="false">
      <c r="A4" s="15" t="s">
        <v>108</v>
      </c>
      <c r="B4" s="15" t="s">
        <v>109</v>
      </c>
      <c r="C4" s="15" t="s">
        <v>110</v>
      </c>
      <c r="D4" s="15" t="s">
        <v>52</v>
      </c>
      <c r="E4" s="24" t="n">
        <v>21</v>
      </c>
      <c r="F4" s="15" t="s">
        <v>111</v>
      </c>
      <c r="G4" s="24" t="n">
        <v>500</v>
      </c>
      <c r="H4" s="25" t="n">
        <v>4.2</v>
      </c>
      <c r="I4" s="25" t="n">
        <v>4.5</v>
      </c>
      <c r="J4" s="15" t="s">
        <v>112</v>
      </c>
      <c r="K4" s="15" t="s">
        <v>113</v>
      </c>
      <c r="L4" s="15" t="s">
        <v>114</v>
      </c>
    </row>
    <row r="5" customFormat="false" ht="15" hidden="false" customHeight="false" outlineLevel="0" collapsed="false">
      <c r="A5" s="15" t="s">
        <v>115</v>
      </c>
      <c r="B5" s="15" t="s">
        <v>116</v>
      </c>
      <c r="C5" s="15" t="s">
        <v>117</v>
      </c>
      <c r="D5" s="15" t="s">
        <v>46</v>
      </c>
      <c r="E5" s="24" t="n">
        <v>14</v>
      </c>
      <c r="F5" s="15" t="s">
        <v>118</v>
      </c>
      <c r="G5" s="24" t="n">
        <v>100</v>
      </c>
      <c r="H5" s="25" t="n">
        <v>4.8</v>
      </c>
      <c r="I5" s="25" t="n">
        <v>4.9</v>
      </c>
      <c r="J5" s="15" t="s">
        <v>112</v>
      </c>
      <c r="K5" s="15" t="s">
        <v>119</v>
      </c>
      <c r="L5" s="15" t="s">
        <v>120</v>
      </c>
    </row>
    <row r="6" customFormat="false" ht="15" hidden="false" customHeight="false" outlineLevel="0" collapsed="false">
      <c r="A6" s="15" t="s">
        <v>121</v>
      </c>
      <c r="B6" s="15" t="s">
        <v>122</v>
      </c>
      <c r="C6" s="15" t="s">
        <v>123</v>
      </c>
      <c r="D6" s="15" t="s">
        <v>55</v>
      </c>
      <c r="E6" s="24" t="n">
        <v>28</v>
      </c>
      <c r="F6" s="15" t="s">
        <v>111</v>
      </c>
      <c r="G6" s="24" t="n">
        <v>1000</v>
      </c>
      <c r="H6" s="25" t="n">
        <v>3.8</v>
      </c>
      <c r="I6" s="25" t="n">
        <v>4</v>
      </c>
      <c r="J6" s="15" t="s">
        <v>112</v>
      </c>
      <c r="K6" s="15" t="s">
        <v>124</v>
      </c>
      <c r="L6" s="15" t="s">
        <v>125</v>
      </c>
    </row>
    <row r="7" customFormat="false" ht="15" hidden="false" customHeight="false" outlineLevel="0" collapsed="false">
      <c r="A7" s="15" t="s">
        <v>126</v>
      </c>
      <c r="B7" s="15" t="s">
        <v>127</v>
      </c>
      <c r="C7" s="15" t="s">
        <v>128</v>
      </c>
      <c r="D7" s="15" t="s">
        <v>43</v>
      </c>
      <c r="E7" s="24" t="n">
        <v>7</v>
      </c>
      <c r="F7" s="15" t="s">
        <v>129</v>
      </c>
      <c r="G7" s="24" t="n">
        <v>50</v>
      </c>
      <c r="H7" s="25" t="n">
        <v>4.5</v>
      </c>
      <c r="I7" s="25" t="n">
        <v>4.7</v>
      </c>
      <c r="J7" s="15" t="s">
        <v>112</v>
      </c>
      <c r="K7" s="15" t="s">
        <v>130</v>
      </c>
      <c r="L7" s="15" t="s">
        <v>131</v>
      </c>
    </row>
    <row r="8" customFormat="false" ht="15" hidden="false" customHeight="false" outlineLevel="0" collapsed="false">
      <c r="A8" s="15" t="s">
        <v>132</v>
      </c>
      <c r="B8" s="15" t="s">
        <v>133</v>
      </c>
      <c r="C8" s="15" t="s">
        <v>134</v>
      </c>
      <c r="D8" s="15" t="s">
        <v>58</v>
      </c>
      <c r="E8" s="24" t="n">
        <v>18</v>
      </c>
      <c r="F8" s="15" t="s">
        <v>135</v>
      </c>
      <c r="G8" s="24" t="n">
        <v>200</v>
      </c>
      <c r="H8" s="25" t="n">
        <v>4.6</v>
      </c>
      <c r="I8" s="25" t="n">
        <v>4.4</v>
      </c>
      <c r="J8" s="15" t="s">
        <v>112</v>
      </c>
      <c r="K8" s="15" t="s">
        <v>136</v>
      </c>
      <c r="L8" s="15" t="s">
        <v>137</v>
      </c>
    </row>
    <row r="9" customFormat="false" ht="15" hidden="false" customHeight="false" outlineLevel="0" collapsed="false">
      <c r="A9" s="15" t="s">
        <v>138</v>
      </c>
      <c r="B9" s="15"/>
      <c r="C9" s="15"/>
      <c r="D9" s="15"/>
      <c r="E9" s="24"/>
      <c r="F9" s="15"/>
      <c r="G9" s="24"/>
      <c r="H9" s="25"/>
      <c r="I9" s="25"/>
      <c r="J9" s="15"/>
      <c r="K9" s="15"/>
      <c r="L9" s="15"/>
    </row>
    <row r="10" customFormat="false" ht="15" hidden="false" customHeight="false" outlineLevel="0" collapsed="false">
      <c r="A10" s="15" t="s">
        <v>139</v>
      </c>
      <c r="B10" s="15"/>
      <c r="C10" s="15"/>
      <c r="D10" s="15"/>
      <c r="E10" s="24"/>
      <c r="F10" s="15"/>
      <c r="G10" s="24"/>
      <c r="H10" s="25"/>
      <c r="I10" s="25"/>
      <c r="J10" s="15"/>
      <c r="K10" s="15"/>
      <c r="L10" s="15"/>
    </row>
    <row r="11" customFormat="false" ht="15" hidden="false" customHeight="false" outlineLevel="0" collapsed="false">
      <c r="A11" s="15" t="s">
        <v>140</v>
      </c>
      <c r="B11" s="15"/>
      <c r="C11" s="15"/>
      <c r="D11" s="15"/>
      <c r="E11" s="24"/>
      <c r="F11" s="15"/>
      <c r="G11" s="24"/>
      <c r="H11" s="25"/>
      <c r="I11" s="25"/>
      <c r="J11" s="15"/>
      <c r="K11" s="15"/>
      <c r="L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5"/>
  </cols>
  <sheetData>
    <row r="1" customFormat="false" ht="67.15" hidden="false" customHeight="false" outlineLevel="0" collapsed="false">
      <c r="A1" s="1" t="s">
        <v>141</v>
      </c>
    </row>
    <row r="3" customFormat="false" ht="28.35" hidden="false" customHeight="false" outlineLevel="0" collapsed="false">
      <c r="A3" s="9" t="s">
        <v>142</v>
      </c>
      <c r="B3" s="9" t="s">
        <v>143</v>
      </c>
      <c r="C3" s="9" t="s">
        <v>9</v>
      </c>
      <c r="D3" s="9" t="s">
        <v>144</v>
      </c>
      <c r="E3" s="9" t="s">
        <v>145</v>
      </c>
      <c r="F3" s="9" t="s">
        <v>146</v>
      </c>
      <c r="G3" s="9" t="s">
        <v>106</v>
      </c>
      <c r="H3" s="9" t="s">
        <v>147</v>
      </c>
      <c r="I3" s="9" t="s">
        <v>78</v>
      </c>
    </row>
    <row r="4" customFormat="false" ht="15" hidden="false" customHeight="false" outlineLevel="0" collapsed="false">
      <c r="A4" s="15" t="s">
        <v>148</v>
      </c>
      <c r="B4" s="15" t="s">
        <v>149</v>
      </c>
      <c r="C4" s="15" t="s">
        <v>150</v>
      </c>
      <c r="D4" s="15" t="s">
        <v>151</v>
      </c>
      <c r="E4" s="15" t="n">
        <v>100</v>
      </c>
      <c r="F4" s="15" t="s">
        <v>152</v>
      </c>
      <c r="G4" s="15" t="s">
        <v>112</v>
      </c>
      <c r="H4" s="15" t="s">
        <v>153</v>
      </c>
      <c r="I4" s="15" t="s">
        <v>154</v>
      </c>
    </row>
    <row r="5" customFormat="false" ht="15" hidden="false" customHeight="false" outlineLevel="0" collapsed="false">
      <c r="A5" s="15" t="s">
        <v>155</v>
      </c>
      <c r="B5" s="15" t="s">
        <v>156</v>
      </c>
      <c r="C5" s="15" t="s">
        <v>157</v>
      </c>
      <c r="D5" s="15" t="s">
        <v>151</v>
      </c>
      <c r="E5" s="15" t="n">
        <v>250</v>
      </c>
      <c r="F5" s="15" t="s">
        <v>152</v>
      </c>
      <c r="G5" s="15" t="s">
        <v>112</v>
      </c>
      <c r="H5" s="15" t="s">
        <v>158</v>
      </c>
      <c r="I5" s="15" t="s">
        <v>159</v>
      </c>
    </row>
    <row r="6" customFormat="false" ht="15" hidden="false" customHeight="false" outlineLevel="0" collapsed="false">
      <c r="A6" s="15" t="s">
        <v>160</v>
      </c>
      <c r="B6" s="15" t="s">
        <v>161</v>
      </c>
      <c r="C6" s="15" t="s">
        <v>162</v>
      </c>
      <c r="D6" s="15" t="s">
        <v>151</v>
      </c>
      <c r="E6" s="15" t="n">
        <v>500</v>
      </c>
      <c r="F6" s="15" t="s">
        <v>163</v>
      </c>
      <c r="G6" s="15" t="s">
        <v>112</v>
      </c>
      <c r="H6" s="15" t="s">
        <v>164</v>
      </c>
      <c r="I6" s="15" t="s">
        <v>165</v>
      </c>
    </row>
    <row r="7" customFormat="false" ht="15" hidden="false" customHeight="false" outlineLevel="0" collapsed="false">
      <c r="A7" s="15" t="s">
        <v>166</v>
      </c>
      <c r="B7" s="15" t="s">
        <v>167</v>
      </c>
      <c r="C7" s="15" t="s">
        <v>168</v>
      </c>
      <c r="D7" s="15" t="s">
        <v>169</v>
      </c>
      <c r="E7" s="15" t="n">
        <v>1000</v>
      </c>
      <c r="F7" s="15" t="s">
        <v>170</v>
      </c>
      <c r="G7" s="15" t="s">
        <v>112</v>
      </c>
      <c r="H7" s="15" t="s">
        <v>171</v>
      </c>
      <c r="I7" s="15" t="s">
        <v>172</v>
      </c>
    </row>
    <row r="8" customFormat="false" ht="15" hidden="false" customHeight="false" outlineLevel="0" collapsed="false">
      <c r="A8" s="15" t="s">
        <v>173</v>
      </c>
      <c r="B8" s="15" t="s">
        <v>174</v>
      </c>
      <c r="C8" s="15" t="s">
        <v>175</v>
      </c>
      <c r="D8" s="15" t="s">
        <v>151</v>
      </c>
      <c r="E8" s="15" t="n">
        <v>200</v>
      </c>
      <c r="F8" s="15" t="s">
        <v>163</v>
      </c>
      <c r="G8" s="15" t="s">
        <v>112</v>
      </c>
      <c r="H8" s="15" t="s">
        <v>176</v>
      </c>
      <c r="I8" s="15" t="s">
        <v>177</v>
      </c>
    </row>
    <row r="9" customFormat="false" ht="15" hidden="false" customHeight="false" outlineLevel="0" collapsed="false">
      <c r="A9" s="15" t="s">
        <v>178</v>
      </c>
      <c r="B9" s="15"/>
      <c r="C9" s="15"/>
      <c r="D9" s="15"/>
      <c r="E9" s="15"/>
      <c r="F9" s="15"/>
      <c r="G9" s="15"/>
      <c r="H9" s="15"/>
      <c r="I9" s="15"/>
    </row>
    <row r="10" customFormat="false" ht="15" hidden="false" customHeight="false" outlineLevel="0" collapsed="false">
      <c r="A10" s="15" t="s">
        <v>179</v>
      </c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5" t="s">
        <v>180</v>
      </c>
      <c r="B11" s="15"/>
      <c r="C11" s="15"/>
      <c r="D11" s="15"/>
      <c r="E11" s="15"/>
      <c r="F11" s="15"/>
      <c r="G11" s="15"/>
      <c r="H11" s="15"/>
      <c r="I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12" min="4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116.4" hidden="false" customHeight="false" outlineLevel="0" collapsed="false">
      <c r="A1" s="1" t="s">
        <v>181</v>
      </c>
    </row>
    <row r="3" customFormat="false" ht="15" hidden="false" customHeight="false" outlineLevel="0" collapsed="false">
      <c r="A3" s="4" t="s">
        <v>182</v>
      </c>
      <c r="B3" s="15" t="s">
        <v>148</v>
      </c>
      <c r="C3" s="4" t="s">
        <v>183</v>
      </c>
      <c r="D3" s="2" t="str">
        <f aca="false">IFERROR(VLOOKUP(B3,Products!A:B,2,FALSE()),"-")</f>
        <v>Precision Gear Assembly</v>
      </c>
    </row>
    <row r="5" customFormat="false" ht="28.35" hidden="false" customHeight="false" outlineLevel="0" collapsed="false">
      <c r="A5" s="9" t="s">
        <v>184</v>
      </c>
      <c r="B5" s="9" t="s">
        <v>185</v>
      </c>
      <c r="C5" s="9" t="s">
        <v>186</v>
      </c>
      <c r="D5" s="9" t="s">
        <v>187</v>
      </c>
      <c r="E5" s="9" t="s">
        <v>188</v>
      </c>
      <c r="F5" s="9" t="s">
        <v>189</v>
      </c>
      <c r="G5" s="9" t="s">
        <v>190</v>
      </c>
      <c r="H5" s="9" t="s">
        <v>191</v>
      </c>
      <c r="I5" s="9" t="s">
        <v>192</v>
      </c>
      <c r="J5" s="9" t="s">
        <v>193</v>
      </c>
      <c r="K5" s="9" t="s">
        <v>194</v>
      </c>
      <c r="L5" s="9" t="s">
        <v>195</v>
      </c>
      <c r="M5" s="9" t="s">
        <v>196</v>
      </c>
      <c r="N5" s="9" t="s">
        <v>197</v>
      </c>
      <c r="O5" s="9" t="s">
        <v>198</v>
      </c>
      <c r="P5" s="9" t="s">
        <v>199</v>
      </c>
      <c r="Q5" s="9" t="s">
        <v>200</v>
      </c>
      <c r="R5" s="9" t="s">
        <v>23</v>
      </c>
    </row>
    <row r="6" customFormat="false" ht="15" hidden="false" customHeight="false" outlineLevel="0" collapsed="false">
      <c r="A6" s="16" t="n">
        <v>1</v>
      </c>
      <c r="B6" s="15" t="s">
        <v>201</v>
      </c>
      <c r="C6" s="15" t="s">
        <v>202</v>
      </c>
      <c r="D6" s="15" t="s">
        <v>108</v>
      </c>
      <c r="E6" s="26" t="n">
        <v>2.5</v>
      </c>
      <c r="F6" s="15" t="s">
        <v>52</v>
      </c>
      <c r="G6" s="15" t="s">
        <v>115</v>
      </c>
      <c r="H6" s="26" t="n">
        <v>0.45</v>
      </c>
      <c r="I6" s="15" t="s">
        <v>46</v>
      </c>
      <c r="J6" s="15" t="s">
        <v>126</v>
      </c>
      <c r="K6" s="26" t="n">
        <v>0.52</v>
      </c>
      <c r="L6" s="15" t="s">
        <v>43</v>
      </c>
      <c r="M6" s="27" t="n">
        <f aca="false">IF(B6="","",MIN(
        IFERROR(E6*VLOOKUP(F6,Settings!$A$5:$C$10,3,FALSE()),9999999),
        IFERROR(H6*VLOOKUP(I6,Settings!$A$5:$C$10,3,FALSE()),9999999),
        IFERROR(K6*VLOOKUP(L6,Settings!$A$5:$C$10,3,FALSE()),9999999)))</f>
        <v>0.345</v>
      </c>
      <c r="N6" s="28" t="str">
        <f aca="false">IF(B6="","",IF(M6=E6*VLOOKUP(F6,Settings!$A$5:$C$10,3,FALSE()),D6,
        IF(M6=H6*VLOOKUP(I6,Settings!$A$5:$C$10,3,FALSE()),G6,J6)))</f>
        <v>SUP001</v>
      </c>
      <c r="O6" s="15" t="s">
        <v>203</v>
      </c>
      <c r="P6" s="15"/>
      <c r="Q6" s="29" t="e">
        <f aca="false">IF(B6="","",M6*O6)</f>
        <v>#VALUE!</v>
      </c>
      <c r="R6" s="28" t="n">
        <f aca="false">IF(N6="","",IFERROR(VLOOKUP(N6,Suppliers!$A$4:$E$20,5,FALSE()),"-"))</f>
        <v>21</v>
      </c>
    </row>
    <row r="7" customFormat="false" ht="15" hidden="false" customHeight="false" outlineLevel="0" collapsed="false">
      <c r="A7" s="16" t="n">
        <v>2</v>
      </c>
      <c r="B7" s="15" t="s">
        <v>204</v>
      </c>
      <c r="C7" s="15" t="s">
        <v>205</v>
      </c>
      <c r="D7" s="15" t="s">
        <v>108</v>
      </c>
      <c r="E7" s="26" t="n">
        <v>85</v>
      </c>
      <c r="F7" s="15" t="s">
        <v>52</v>
      </c>
      <c r="G7" s="15" t="s">
        <v>121</v>
      </c>
      <c r="H7" s="26" t="n">
        <v>950</v>
      </c>
      <c r="I7" s="15" t="s">
        <v>55</v>
      </c>
      <c r="J7" s="15" t="s">
        <v>126</v>
      </c>
      <c r="K7" s="26" t="n">
        <v>15</v>
      </c>
      <c r="L7" s="15" t="s">
        <v>43</v>
      </c>
      <c r="M7" s="27" t="n">
        <f aca="false">IF(B7="","",MIN(
        IFERROR(E7*VLOOKUP(F7,Settings!$A$5:$C$10,3,FALSE()),9999999),
        IFERROR(H7*VLOOKUP(I7,Settings!$A$5:$C$10,3,FALSE()),9999999),
        IFERROR(K7*VLOOKUP(L7,Settings!$A$5:$C$10,3,FALSE()),9999999)))</f>
        <v>11.4</v>
      </c>
      <c r="N7" s="28" t="str">
        <f aca="false">IF(B7="","",IF(M7=E7*VLOOKUP(F7,Settings!$A$5:$C$10,3,FALSE()),D7,
        IF(M7=H7*VLOOKUP(I7,Settings!$A$5:$C$10,3,FALSE()),G7,J7)))</f>
        <v>SUP003</v>
      </c>
      <c r="O7" s="15" t="s">
        <v>206</v>
      </c>
      <c r="P7" s="15"/>
      <c r="Q7" s="29" t="e">
        <f aca="false">IF(B7="","",M7*O7)</f>
        <v>#VALUE!</v>
      </c>
      <c r="R7" s="28" t="n">
        <f aca="false">IF(N7="","",IFERROR(VLOOKUP(N7,Suppliers!$A$4:$E$20,5,FALSE()),"-"))</f>
        <v>28</v>
      </c>
    </row>
    <row r="8" customFormat="false" ht="15" hidden="false" customHeight="false" outlineLevel="0" collapsed="false">
      <c r="A8" s="16" t="n">
        <v>3</v>
      </c>
      <c r="B8" s="15" t="s">
        <v>207</v>
      </c>
      <c r="C8" s="15" t="s">
        <v>208</v>
      </c>
      <c r="D8" s="15" t="s">
        <v>115</v>
      </c>
      <c r="E8" s="26" t="n">
        <v>3.2</v>
      </c>
      <c r="F8" s="15" t="s">
        <v>46</v>
      </c>
      <c r="G8" s="15" t="s">
        <v>132</v>
      </c>
      <c r="H8" s="26" t="n">
        <v>450</v>
      </c>
      <c r="I8" s="15" t="s">
        <v>58</v>
      </c>
      <c r="J8" s="15" t="s">
        <v>126</v>
      </c>
      <c r="K8" s="26" t="n">
        <v>4.1</v>
      </c>
      <c r="L8" s="15" t="s">
        <v>43</v>
      </c>
      <c r="M8" s="27" t="n">
        <f aca="false">IF(B8="","",MIN(
        IFERROR(E8*VLOOKUP(F8,Settings!$A$5:$C$10,3,FALSE()),9999999),
        IFERROR(H8*VLOOKUP(I8,Settings!$A$5:$C$10,3,FALSE()),9999999),
        IFERROR(K8*VLOOKUP(L8,Settings!$A$5:$C$10,3,FALSE()),9999999)))</f>
        <v>3.015</v>
      </c>
      <c r="N8" s="28" t="str">
        <f aca="false">IF(B8="","",IF(M8=E8*VLOOKUP(F8,Settings!$A$5:$C$10,3,FALSE()),D8,
        IF(M8=H8*VLOOKUP(I8,Settings!$A$5:$C$10,3,FALSE()),G8,J8)))</f>
        <v>SUP005</v>
      </c>
      <c r="O8" s="15" t="s">
        <v>151</v>
      </c>
      <c r="P8" s="15"/>
      <c r="Q8" s="29" t="e">
        <f aca="false">IF(B8="","",M8*O8)</f>
        <v>#VALUE!</v>
      </c>
      <c r="R8" s="28" t="n">
        <f aca="false">IF(N8="","",IFERROR(VLOOKUP(N8,Suppliers!$A$4:$E$20,5,FALSE()),"-"))</f>
        <v>18</v>
      </c>
    </row>
    <row r="9" customFormat="false" ht="15" hidden="false" customHeight="false" outlineLevel="0" collapsed="false">
      <c r="A9" s="16" t="n">
        <v>4</v>
      </c>
      <c r="B9" s="15" t="s">
        <v>209</v>
      </c>
      <c r="C9" s="15" t="s">
        <v>210</v>
      </c>
      <c r="D9" s="15" t="s">
        <v>108</v>
      </c>
      <c r="E9" s="26" t="n">
        <v>0.8</v>
      </c>
      <c r="F9" s="15" t="s">
        <v>52</v>
      </c>
      <c r="G9" s="15" t="s">
        <v>121</v>
      </c>
      <c r="H9" s="26" t="n">
        <v>12</v>
      </c>
      <c r="I9" s="15" t="s">
        <v>55</v>
      </c>
      <c r="J9" s="15" t="s">
        <v>126</v>
      </c>
      <c r="K9" s="26" t="n">
        <v>0.15</v>
      </c>
      <c r="L9" s="15" t="s">
        <v>43</v>
      </c>
      <c r="M9" s="27" t="n">
        <f aca="false">IF(B9="","",MIN(
        IFERROR(E9*VLOOKUP(F9,Settings!$A$5:$C$10,3,FALSE()),9999999),
        IFERROR(H9*VLOOKUP(I9,Settings!$A$5:$C$10,3,FALSE()),9999999),
        IFERROR(K9*VLOOKUP(L9,Settings!$A$5:$C$10,3,FALSE()),9999999)))</f>
        <v>0.1104</v>
      </c>
      <c r="N9" s="28" t="str">
        <f aca="false">IF(B9="","",IF(M9=E9*VLOOKUP(F9,Settings!$A$5:$C$10,3,FALSE()),D9,
        IF(M9=H9*VLOOKUP(I9,Settings!$A$5:$C$10,3,FALSE()),G9,J9)))</f>
        <v>SUP001</v>
      </c>
      <c r="O9" s="15" t="s">
        <v>151</v>
      </c>
      <c r="P9" s="15"/>
      <c r="Q9" s="29" t="e">
        <f aca="false">IF(B9="","",M9*O9)</f>
        <v>#VALUE!</v>
      </c>
      <c r="R9" s="28" t="n">
        <f aca="false">IF(N9="","",IFERROR(VLOOKUP(N9,Suppliers!$A$4:$E$20,5,FALSE()),"-"))</f>
        <v>21</v>
      </c>
    </row>
    <row r="10" customFormat="false" ht="15" hidden="false" customHeight="false" outlineLevel="0" collapsed="false">
      <c r="A10" s="16" t="n">
        <v>5</v>
      </c>
      <c r="B10" s="15" t="s">
        <v>211</v>
      </c>
      <c r="C10" s="15" t="s">
        <v>212</v>
      </c>
      <c r="D10" s="15" t="s">
        <v>132</v>
      </c>
      <c r="E10" s="26" t="n">
        <v>25</v>
      </c>
      <c r="F10" s="15" t="s">
        <v>58</v>
      </c>
      <c r="G10" s="15" t="s">
        <v>115</v>
      </c>
      <c r="H10" s="26" t="n">
        <v>0.18</v>
      </c>
      <c r="I10" s="15" t="s">
        <v>46</v>
      </c>
      <c r="J10" s="15" t="s">
        <v>126</v>
      </c>
      <c r="K10" s="26" t="n">
        <v>0.22</v>
      </c>
      <c r="L10" s="15" t="s">
        <v>43</v>
      </c>
      <c r="M10" s="27" t="n">
        <f aca="false">IF(B10="","",MIN(
        IFERROR(E10*VLOOKUP(F10,Settings!$A$5:$C$10,3,FALSE()),9999999),
        IFERROR(H10*VLOOKUP(I10,Settings!$A$5:$C$10,3,FALSE()),9999999),
        IFERROR(K10*VLOOKUP(L10,Settings!$A$5:$C$10,3,FALSE()),9999999)))</f>
        <v>0.1675</v>
      </c>
      <c r="N10" s="28" t="str">
        <f aca="false">IF(B10="","",IF(M10=E10*VLOOKUP(F10,Settings!$A$5:$C$10,3,FALSE()),D10,
        IF(M10=H10*VLOOKUP(I10,Settings!$A$5:$C$10,3,FALSE()),G10,J10)))</f>
        <v>SUP005</v>
      </c>
      <c r="O10" s="15" t="s">
        <v>151</v>
      </c>
      <c r="P10" s="15"/>
      <c r="Q10" s="29" t="e">
        <f aca="false">IF(B10="","",M10*O10)</f>
        <v>#VALUE!</v>
      </c>
      <c r="R10" s="28" t="n">
        <f aca="false">IF(N10="","",IFERROR(VLOOKUP(N10,Suppliers!$A$4:$E$20,5,FALSE()),"-"))</f>
        <v>18</v>
      </c>
    </row>
    <row r="11" customFormat="false" ht="15" hidden="false" customHeight="false" outlineLevel="0" collapsed="false">
      <c r="A11" s="16" t="n">
        <v>6</v>
      </c>
      <c r="B11" s="15"/>
      <c r="C11" s="15"/>
      <c r="D11" s="15"/>
      <c r="E11" s="26"/>
      <c r="F11" s="15"/>
      <c r="G11" s="15"/>
      <c r="H11" s="26"/>
      <c r="I11" s="15"/>
      <c r="J11" s="15"/>
      <c r="K11" s="26"/>
      <c r="L11" s="15"/>
      <c r="M11" s="27" t="str">
        <f aca="false">IF(B11="","",MIN(
        IFERROR(E11*VLOOKUP(F11,Settings!$A$5:$C$10,3,FALSE()),9999999),
        IFERROR(H11*VLOOKUP(I11,Settings!$A$5:$C$10,3,FALSE()),9999999),
        IFERROR(K11*VLOOKUP(L11,Settings!$A$5:$C$10,3,FALSE()),9999999)))</f>
        <v/>
      </c>
      <c r="N11" s="28" t="str">
        <f aca="false">IF(B11="","",IF(M11=E11*VLOOKUP(F11,Settings!$A$5:$C$10,3,FALSE()),D11,
        IF(M11=H11*VLOOKUP(I11,Settings!$A$5:$C$10,3,FALSE()),G11,J11)))</f>
        <v/>
      </c>
      <c r="O11" s="15"/>
      <c r="P11" s="15"/>
      <c r="Q11" s="29" t="str">
        <f aca="false">IF(B11="","",M11*O11)</f>
        <v/>
      </c>
      <c r="R11" s="28" t="str">
        <f aca="false">IF(N11="","",IFERROR(VLOOKUP(N11,Suppliers!$A$4:$E$20,5,FALSE()),"-"))</f>
        <v/>
      </c>
    </row>
    <row r="12" customFormat="false" ht="15" hidden="false" customHeight="false" outlineLevel="0" collapsed="false">
      <c r="A12" s="16" t="n">
        <v>7</v>
      </c>
      <c r="B12" s="15"/>
      <c r="C12" s="15"/>
      <c r="D12" s="15"/>
      <c r="E12" s="26"/>
      <c r="F12" s="15"/>
      <c r="G12" s="15"/>
      <c r="H12" s="26"/>
      <c r="I12" s="15"/>
      <c r="J12" s="15"/>
      <c r="K12" s="26"/>
      <c r="L12" s="15"/>
      <c r="M12" s="27" t="str">
        <f aca="false">IF(B12="","",MIN(
        IFERROR(E12*VLOOKUP(F12,Settings!$A$5:$C$10,3,FALSE()),9999999),
        IFERROR(H12*VLOOKUP(I12,Settings!$A$5:$C$10,3,FALSE()),9999999),
        IFERROR(K12*VLOOKUP(L12,Settings!$A$5:$C$10,3,FALSE()),9999999)))</f>
        <v/>
      </c>
      <c r="N12" s="28" t="str">
        <f aca="false">IF(B12="","",IF(M12=E12*VLOOKUP(F12,Settings!$A$5:$C$10,3,FALSE()),D12,
        IF(M12=H12*VLOOKUP(I12,Settings!$A$5:$C$10,3,FALSE()),G12,J12)))</f>
        <v/>
      </c>
      <c r="O12" s="15"/>
      <c r="P12" s="15"/>
      <c r="Q12" s="29" t="str">
        <f aca="false">IF(B12="","",M12*O12)</f>
        <v/>
      </c>
      <c r="R12" s="28" t="str">
        <f aca="false">IF(N12="","",IFERROR(VLOOKUP(N12,Suppliers!$A$4:$E$20,5,FALSE()),"-"))</f>
        <v/>
      </c>
    </row>
    <row r="13" customFormat="false" ht="15" hidden="false" customHeight="false" outlineLevel="0" collapsed="false">
      <c r="A13" s="16" t="n">
        <v>8</v>
      </c>
      <c r="B13" s="15"/>
      <c r="C13" s="15"/>
      <c r="D13" s="15"/>
      <c r="E13" s="26"/>
      <c r="F13" s="15"/>
      <c r="G13" s="15"/>
      <c r="H13" s="26"/>
      <c r="I13" s="15"/>
      <c r="J13" s="15"/>
      <c r="K13" s="26"/>
      <c r="L13" s="15"/>
      <c r="M13" s="27" t="str">
        <f aca="false">IF(B13="","",MIN(
        IFERROR(E13*VLOOKUP(F13,Settings!$A$5:$C$10,3,FALSE()),9999999),
        IFERROR(H13*VLOOKUP(I13,Settings!$A$5:$C$10,3,FALSE()),9999999),
        IFERROR(K13*VLOOKUP(L13,Settings!$A$5:$C$10,3,FALSE()),9999999)))</f>
        <v/>
      </c>
      <c r="N13" s="28" t="str">
        <f aca="false">IF(B13="","",IF(M13=E13*VLOOKUP(F13,Settings!$A$5:$C$10,3,FALSE()),D13,
        IF(M13=H13*VLOOKUP(I13,Settings!$A$5:$C$10,3,FALSE()),G13,J13)))</f>
        <v/>
      </c>
      <c r="O13" s="15"/>
      <c r="P13" s="15"/>
      <c r="Q13" s="29" t="str">
        <f aca="false">IF(B13="","",M13*O13)</f>
        <v/>
      </c>
      <c r="R13" s="28" t="str">
        <f aca="false">IF(N13="","",IFERROR(VLOOKUP(N13,Suppliers!$A$4:$E$20,5,FALSE()),"-"))</f>
        <v/>
      </c>
    </row>
    <row r="15" customFormat="false" ht="15" hidden="false" customHeight="false" outlineLevel="0" collapsed="false">
      <c r="A15" s="30" t="s">
        <v>213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 t="e">
        <f aca="false">SUM(Q6:Q14)</f>
        <v>#VALUE!</v>
      </c>
    </row>
  </sheetData>
  <mergeCells count="1">
    <mergeCell ref="A15:P15"/>
  </mergeCells>
  <dataValidations count="3">
    <dataValidation allowBlank="true" error="Please select a valid currency" errorStyle="stop" errorTitle="Invalid Currency" operator="between" showDropDown="false" showErrorMessage="false" showInputMessage="false" sqref="F6:F14 I6:I14 L6:L14" type="list">
      <formula1>"USD,EUR,GBP,CNY,INR,JPY"</formula1>
      <formula2>0</formula2>
    </dataValidation>
    <dataValidation allowBlank="true" error="Please select a valid supplier" errorStyle="stop" operator="between" showDropDown="false" showErrorMessage="false" showInputMessage="false" sqref="D6:D14 G6:G14 J6:J14" type="list">
      <formula1>Suppliers!$A$4:$A$11</formula1>
      <formula2>0</formula2>
    </dataValidation>
    <dataValidation allowBlank="true" errorStyle="stop" operator="between" showDropDown="false" showErrorMessage="false" showInputMessage="false" sqref="B3" type="list">
      <formula1>Products!$A$4:$A$11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67.15" hidden="false" customHeight="false" outlineLevel="0" collapsed="false">
      <c r="A1" s="1" t="s">
        <v>214</v>
      </c>
    </row>
    <row r="3" customFormat="false" ht="15" hidden="false" customHeight="false" outlineLevel="0" collapsed="false">
      <c r="A3" s="0" t="s">
        <v>182</v>
      </c>
      <c r="B3" s="32" t="s">
        <v>148</v>
      </c>
    </row>
    <row r="5" customFormat="false" ht="15" hidden="false" customHeight="false" outlineLevel="0" collapsed="false">
      <c r="A5" s="3" t="s">
        <v>215</v>
      </c>
    </row>
    <row r="6" customFormat="false" ht="28.35" hidden="false" customHeight="false" outlineLevel="0" collapsed="false">
      <c r="A6" s="9" t="s">
        <v>216</v>
      </c>
      <c r="B6" s="9" t="s">
        <v>217</v>
      </c>
      <c r="C6" s="9" t="s">
        <v>218</v>
      </c>
      <c r="D6" s="9" t="s">
        <v>219</v>
      </c>
    </row>
    <row r="7" customFormat="false" ht="15" hidden="false" customHeight="false" outlineLevel="0" collapsed="false">
      <c r="A7" s="7" t="s">
        <v>220</v>
      </c>
      <c r="B7" s="23" t="n">
        <v>18</v>
      </c>
      <c r="C7" s="19" t="n">
        <v>0.35</v>
      </c>
      <c r="D7" s="33" t="n">
        <f aca="false">B7*(1+C7)</f>
        <v>24.3</v>
      </c>
    </row>
    <row r="8" customFormat="false" ht="15" hidden="false" customHeight="false" outlineLevel="0" collapsed="false">
      <c r="A8" s="7" t="s">
        <v>221</v>
      </c>
      <c r="B8" s="23" t="n">
        <v>25</v>
      </c>
      <c r="C8" s="19" t="n">
        <v>0.35</v>
      </c>
      <c r="D8" s="33" t="n">
        <f aca="false">B8*(1+C8)</f>
        <v>33.75</v>
      </c>
    </row>
    <row r="9" customFormat="false" ht="15" hidden="false" customHeight="false" outlineLevel="0" collapsed="false">
      <c r="A9" s="7" t="s">
        <v>222</v>
      </c>
      <c r="B9" s="23" t="n">
        <v>35</v>
      </c>
      <c r="C9" s="19" t="n">
        <v>0.4</v>
      </c>
      <c r="D9" s="33" t="n">
        <f aca="false">B9*(1+C9)</f>
        <v>49</v>
      </c>
    </row>
    <row r="10" customFormat="false" ht="15" hidden="false" customHeight="false" outlineLevel="0" collapsed="false">
      <c r="A10" s="7" t="s">
        <v>223</v>
      </c>
      <c r="B10" s="23" t="n">
        <v>28</v>
      </c>
      <c r="C10" s="19" t="n">
        <v>0.38</v>
      </c>
      <c r="D10" s="33" t="n">
        <f aca="false">B10*(1+C10)</f>
        <v>38.64</v>
      </c>
    </row>
    <row r="11" customFormat="false" ht="15" hidden="false" customHeight="false" outlineLevel="0" collapsed="false">
      <c r="A11" s="7" t="s">
        <v>224</v>
      </c>
      <c r="B11" s="23" t="n">
        <v>32</v>
      </c>
      <c r="C11" s="19" t="n">
        <v>0.42</v>
      </c>
      <c r="D11" s="33" t="n">
        <f aca="false">B11*(1+C11)</f>
        <v>45.44</v>
      </c>
    </row>
    <row r="12" customFormat="false" ht="15" hidden="false" customHeight="false" outlineLevel="0" collapsed="false">
      <c r="A12" s="7" t="s">
        <v>225</v>
      </c>
      <c r="B12" s="23" t="n">
        <v>24</v>
      </c>
      <c r="C12" s="19" t="n">
        <v>0.3</v>
      </c>
      <c r="D12" s="33" t="n">
        <f aca="false">B12*(1+C12)</f>
        <v>31.2</v>
      </c>
    </row>
    <row r="13" customFormat="false" ht="15" hidden="false" customHeight="false" outlineLevel="0" collapsed="false">
      <c r="A13" s="7" t="s">
        <v>16</v>
      </c>
      <c r="B13" s="23" t="n">
        <v>15</v>
      </c>
      <c r="C13" s="19" t="n">
        <v>0.32</v>
      </c>
      <c r="D13" s="33" t="n">
        <f aca="false">B13*(1+C13)</f>
        <v>19.8</v>
      </c>
    </row>
    <row r="16" customFormat="false" ht="15" hidden="false" customHeight="false" outlineLevel="0" collapsed="false">
      <c r="A16" s="3" t="s">
        <v>226</v>
      </c>
    </row>
    <row r="17" customFormat="false" ht="28.35" hidden="false" customHeight="false" outlineLevel="0" collapsed="false">
      <c r="A17" s="9" t="s">
        <v>227</v>
      </c>
      <c r="B17" s="9" t="s">
        <v>228</v>
      </c>
      <c r="C17" s="9" t="s">
        <v>216</v>
      </c>
      <c r="D17" s="9" t="s">
        <v>229</v>
      </c>
      <c r="E17" s="9" t="s">
        <v>230</v>
      </c>
      <c r="F17" s="9" t="s">
        <v>231</v>
      </c>
      <c r="G17" s="9" t="s">
        <v>232</v>
      </c>
      <c r="H17" s="9" t="s">
        <v>233</v>
      </c>
    </row>
    <row r="18" customFormat="false" ht="15" hidden="false" customHeight="false" outlineLevel="0" collapsed="false">
      <c r="A18" s="7" t="n">
        <v>10</v>
      </c>
      <c r="B18" s="34" t="s">
        <v>234</v>
      </c>
      <c r="C18" s="34" t="s">
        <v>220</v>
      </c>
      <c r="D18" s="35" t="n">
        <v>0.5</v>
      </c>
      <c r="E18" s="36" t="n">
        <v>0.02</v>
      </c>
      <c r="F18" s="28" t="n">
        <f aca="false">Products!$E$4</f>
        <v>100</v>
      </c>
      <c r="G18" s="37" t="n">
        <f aca="false">D18+(E18*F18)</f>
        <v>2.5</v>
      </c>
      <c r="H18" s="33" t="n">
        <f aca="false">G18*IFERROR(VLOOKUP(C18,$A$7:$D$13,4,FALSE()),0)</f>
        <v>60.75</v>
      </c>
    </row>
    <row r="19" customFormat="false" ht="15" hidden="false" customHeight="false" outlineLevel="0" collapsed="false">
      <c r="A19" s="7" t="n">
        <v>20</v>
      </c>
      <c r="B19" s="34" t="s">
        <v>235</v>
      </c>
      <c r="C19" s="34" t="s">
        <v>222</v>
      </c>
      <c r="D19" s="35" t="n">
        <v>1</v>
      </c>
      <c r="E19" s="36" t="n">
        <v>0.15</v>
      </c>
      <c r="F19" s="28" t="n">
        <f aca="false">Products!$E$4</f>
        <v>100</v>
      </c>
      <c r="G19" s="37" t="n">
        <f aca="false">D19+(E19*F19)</f>
        <v>16</v>
      </c>
      <c r="H19" s="33" t="n">
        <f aca="false">G19*IFERROR(VLOOKUP(C19,$A$7:$D$13,4,FALSE()),0)</f>
        <v>784</v>
      </c>
    </row>
    <row r="20" customFormat="false" ht="15" hidden="false" customHeight="false" outlineLevel="0" collapsed="false">
      <c r="A20" s="7" t="n">
        <v>30</v>
      </c>
      <c r="B20" s="34" t="s">
        <v>236</v>
      </c>
      <c r="C20" s="34" t="s">
        <v>222</v>
      </c>
      <c r="D20" s="35" t="n">
        <v>0.75</v>
      </c>
      <c r="E20" s="36" t="n">
        <v>0.1</v>
      </c>
      <c r="F20" s="28" t="n">
        <f aca="false">Products!$E$4</f>
        <v>100</v>
      </c>
      <c r="G20" s="37" t="n">
        <f aca="false">D20+(E20*F20)</f>
        <v>10.75</v>
      </c>
      <c r="H20" s="33" t="n">
        <f aca="false">G20*IFERROR(VLOOKUP(C20,$A$7:$D$13,4,FALSE()),0)</f>
        <v>526.75</v>
      </c>
    </row>
    <row r="21" customFormat="false" ht="15" hidden="false" customHeight="false" outlineLevel="0" collapsed="false">
      <c r="A21" s="7" t="n">
        <v>40</v>
      </c>
      <c r="B21" s="34" t="s">
        <v>237</v>
      </c>
      <c r="C21" s="34" t="s">
        <v>223</v>
      </c>
      <c r="D21" s="35" t="n">
        <v>0.25</v>
      </c>
      <c r="E21" s="36" t="n">
        <v>0.05</v>
      </c>
      <c r="F21" s="28" t="n">
        <f aca="false">Products!$E$4</f>
        <v>100</v>
      </c>
      <c r="G21" s="37" t="n">
        <f aca="false">D21+(E21*F21)</f>
        <v>5.25</v>
      </c>
      <c r="H21" s="33" t="n">
        <f aca="false">G21*IFERROR(VLOOKUP(C21,$A$7:$D$13,4,FALSE()),0)</f>
        <v>202.86</v>
      </c>
    </row>
    <row r="22" customFormat="false" ht="15" hidden="false" customHeight="false" outlineLevel="0" collapsed="false">
      <c r="A22" s="7" t="n">
        <v>50</v>
      </c>
      <c r="B22" s="34" t="s">
        <v>238</v>
      </c>
      <c r="C22" s="34" t="s">
        <v>221</v>
      </c>
      <c r="D22" s="35" t="n">
        <v>0.5</v>
      </c>
      <c r="E22" s="36" t="n">
        <v>0.08</v>
      </c>
      <c r="F22" s="28" t="n">
        <f aca="false">Products!$E$4</f>
        <v>100</v>
      </c>
      <c r="G22" s="37" t="n">
        <f aca="false">D22+(E22*F22)</f>
        <v>8.5</v>
      </c>
      <c r="H22" s="33" t="n">
        <f aca="false">G22*IFERROR(VLOOKUP(C22,$A$7:$D$13,4,FALSE()),0)</f>
        <v>286.875</v>
      </c>
    </row>
    <row r="23" customFormat="false" ht="15" hidden="false" customHeight="false" outlineLevel="0" collapsed="false">
      <c r="A23" s="7" t="n">
        <v>60</v>
      </c>
      <c r="B23" s="34" t="s">
        <v>239</v>
      </c>
      <c r="C23" s="34" t="s">
        <v>225</v>
      </c>
      <c r="D23" s="35" t="n">
        <v>0.25</v>
      </c>
      <c r="E23" s="36" t="n">
        <v>0.03</v>
      </c>
      <c r="F23" s="28" t="n">
        <f aca="false">Products!$E$4</f>
        <v>100</v>
      </c>
      <c r="G23" s="37" t="n">
        <f aca="false">D23+(E23*F23)</f>
        <v>3.25</v>
      </c>
      <c r="H23" s="33" t="n">
        <f aca="false">G23*IFERROR(VLOOKUP(C23,$A$7:$D$13,4,FALSE()),0)</f>
        <v>101.4</v>
      </c>
    </row>
    <row r="24" customFormat="false" ht="15" hidden="false" customHeight="false" outlineLevel="0" collapsed="false">
      <c r="A24" s="7" t="n">
        <v>70</v>
      </c>
      <c r="B24" s="34" t="s">
        <v>16</v>
      </c>
      <c r="C24" s="34" t="s">
        <v>16</v>
      </c>
      <c r="D24" s="35" t="n">
        <v>0.15</v>
      </c>
      <c r="E24" s="36" t="n">
        <v>0.02</v>
      </c>
      <c r="F24" s="28" t="n">
        <f aca="false">Products!$E$4</f>
        <v>100</v>
      </c>
      <c r="G24" s="37" t="n">
        <f aca="false">D24+(E24*F24)</f>
        <v>2.15</v>
      </c>
      <c r="H24" s="33" t="n">
        <f aca="false">G24*IFERROR(VLOOKUP(C24,$A$7:$D$13,4,FALSE()),0)</f>
        <v>42.57</v>
      </c>
    </row>
    <row r="26" customFormat="false" ht="15" hidden="false" customHeight="false" outlineLevel="0" collapsed="false">
      <c r="A26" s="30" t="s">
        <v>240</v>
      </c>
      <c r="B26" s="30"/>
      <c r="C26" s="30"/>
      <c r="D26" s="30"/>
      <c r="E26" s="30"/>
      <c r="F26" s="30"/>
      <c r="G26" s="30"/>
      <c r="H26" s="31" t="n">
        <f aca="false">SUM(H18:H25)</f>
        <v>2005.205</v>
      </c>
    </row>
    <row r="27" customFormat="false" ht="15" hidden="false" customHeight="false" outlineLevel="0" collapsed="false">
      <c r="A27" s="30" t="s">
        <v>241</v>
      </c>
      <c r="B27" s="30"/>
      <c r="C27" s="30"/>
      <c r="D27" s="30"/>
      <c r="E27" s="30"/>
      <c r="F27" s="30"/>
      <c r="G27" s="30"/>
      <c r="H27" s="31" t="n">
        <f aca="false">IFERROR(H26/Products!$E$4,0)</f>
        <v>20.05205</v>
      </c>
    </row>
  </sheetData>
  <mergeCells count="2">
    <mergeCell ref="A26:G26"/>
    <mergeCell ref="A27:G27"/>
  </mergeCells>
  <dataValidations count="1">
    <dataValidation allowBlank="true" errorStyle="stop" operator="between" showDropDown="false" showErrorMessage="false" showInputMessage="false" sqref="C18:C25" type="list">
      <formula1>Labor!$A$7:$A$13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9" min="6" style="0" width="12"/>
  </cols>
  <sheetData>
    <row r="1" customFormat="false" ht="99.9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0" t="s">
        <v>182</v>
      </c>
      <c r="B3" s="32" t="s">
        <v>148</v>
      </c>
    </row>
    <row r="5" customFormat="false" ht="15" hidden="false" customHeight="false" outlineLevel="0" collapsed="false">
      <c r="A5" s="3" t="s">
        <v>243</v>
      </c>
    </row>
    <row r="6" customFormat="false" ht="28.35" hidden="false" customHeight="false" outlineLevel="0" collapsed="false">
      <c r="A6" s="9" t="s">
        <v>244</v>
      </c>
      <c r="B6" s="9" t="s">
        <v>245</v>
      </c>
      <c r="C6" s="9" t="s">
        <v>246</v>
      </c>
      <c r="D6" s="9" t="s">
        <v>247</v>
      </c>
      <c r="E6" s="9" t="s">
        <v>248</v>
      </c>
      <c r="F6" s="9" t="s">
        <v>249</v>
      </c>
      <c r="G6" s="9" t="s">
        <v>250</v>
      </c>
    </row>
    <row r="7" customFormat="false" ht="15" hidden="false" customHeight="false" outlineLevel="0" collapsed="false">
      <c r="A7" s="15" t="s">
        <v>251</v>
      </c>
      <c r="B7" s="15" t="s">
        <v>252</v>
      </c>
      <c r="C7" s="23" t="n">
        <v>45</v>
      </c>
      <c r="D7" s="23" t="n">
        <v>150</v>
      </c>
      <c r="E7" s="23" t="n">
        <v>8</v>
      </c>
      <c r="F7" s="23" t="n">
        <v>5</v>
      </c>
      <c r="G7" s="33" t="n">
        <f aca="false">C7+E7+F7</f>
        <v>58</v>
      </c>
    </row>
    <row r="8" customFormat="false" ht="15" hidden="false" customHeight="false" outlineLevel="0" collapsed="false">
      <c r="A8" s="15" t="s">
        <v>253</v>
      </c>
      <c r="B8" s="15" t="s">
        <v>254</v>
      </c>
      <c r="C8" s="23" t="n">
        <v>85</v>
      </c>
      <c r="D8" s="23" t="n">
        <v>250</v>
      </c>
      <c r="E8" s="23" t="n">
        <v>15</v>
      </c>
      <c r="F8" s="23" t="n">
        <v>8</v>
      </c>
      <c r="G8" s="33" t="n">
        <f aca="false">C8+E8+F8</f>
        <v>108</v>
      </c>
    </row>
    <row r="9" customFormat="false" ht="15" hidden="false" customHeight="false" outlineLevel="0" collapsed="false">
      <c r="A9" s="15" t="s">
        <v>255</v>
      </c>
      <c r="B9" s="15" t="s">
        <v>256</v>
      </c>
      <c r="C9" s="23" t="n">
        <v>55</v>
      </c>
      <c r="D9" s="23" t="n">
        <v>100</v>
      </c>
      <c r="E9" s="23" t="n">
        <v>10</v>
      </c>
      <c r="F9" s="23" t="n">
        <v>4</v>
      </c>
      <c r="G9" s="33" t="n">
        <f aca="false">C9+E9+F9</f>
        <v>69</v>
      </c>
    </row>
    <row r="10" customFormat="false" ht="15" hidden="false" customHeight="false" outlineLevel="0" collapsed="false">
      <c r="A10" s="15" t="s">
        <v>257</v>
      </c>
      <c r="B10" s="15" t="s">
        <v>258</v>
      </c>
      <c r="C10" s="23" t="n">
        <v>35</v>
      </c>
      <c r="D10" s="23" t="n">
        <v>75</v>
      </c>
      <c r="E10" s="23" t="n">
        <v>5</v>
      </c>
      <c r="F10" s="23" t="n">
        <v>3</v>
      </c>
      <c r="G10" s="33" t="n">
        <f aca="false">C10+E10+F10</f>
        <v>43</v>
      </c>
    </row>
    <row r="11" customFormat="false" ht="15" hidden="false" customHeight="false" outlineLevel="0" collapsed="false">
      <c r="A11" s="15" t="s">
        <v>259</v>
      </c>
      <c r="B11" s="15" t="s">
        <v>260</v>
      </c>
      <c r="C11" s="23" t="n">
        <v>25</v>
      </c>
      <c r="D11" s="23" t="n">
        <v>50</v>
      </c>
      <c r="E11" s="23" t="n">
        <v>3</v>
      </c>
      <c r="F11" s="23" t="n">
        <v>2</v>
      </c>
      <c r="G11" s="33" t="n">
        <f aca="false">C11+E11+F11</f>
        <v>30</v>
      </c>
    </row>
    <row r="12" customFormat="false" ht="15" hidden="false" customHeight="false" outlineLevel="0" collapsed="false">
      <c r="A12" s="15" t="s">
        <v>261</v>
      </c>
      <c r="B12" s="15" t="s">
        <v>262</v>
      </c>
      <c r="C12" s="23" t="n">
        <v>15</v>
      </c>
      <c r="D12" s="23" t="n">
        <v>25</v>
      </c>
      <c r="E12" s="23" t="n">
        <v>2</v>
      </c>
      <c r="F12" s="23" t="n">
        <v>1</v>
      </c>
      <c r="G12" s="33" t="n">
        <f aca="false">C12+E12+F12</f>
        <v>18</v>
      </c>
    </row>
    <row r="15" customFormat="false" ht="15" hidden="false" customHeight="false" outlineLevel="0" collapsed="false">
      <c r="A15" s="3" t="s">
        <v>263</v>
      </c>
    </row>
    <row r="16" customFormat="false" ht="28.35" hidden="false" customHeight="false" outlineLevel="0" collapsed="false">
      <c r="A16" s="9" t="s">
        <v>227</v>
      </c>
      <c r="B16" s="9" t="s">
        <v>264</v>
      </c>
      <c r="C16" s="9" t="s">
        <v>244</v>
      </c>
      <c r="D16" s="9" t="s">
        <v>229</v>
      </c>
      <c r="E16" s="9" t="s">
        <v>265</v>
      </c>
      <c r="F16" s="9" t="s">
        <v>231</v>
      </c>
      <c r="G16" s="9" t="s">
        <v>247</v>
      </c>
      <c r="H16" s="9" t="s">
        <v>266</v>
      </c>
      <c r="I16" s="9" t="s">
        <v>267</v>
      </c>
    </row>
    <row r="17" customFormat="false" ht="15" hidden="false" customHeight="false" outlineLevel="0" collapsed="false">
      <c r="A17" s="7" t="n">
        <v>20</v>
      </c>
      <c r="B17" s="34" t="s">
        <v>268</v>
      </c>
      <c r="C17" s="34" t="s">
        <v>251</v>
      </c>
      <c r="D17" s="35" t="n">
        <v>1</v>
      </c>
      <c r="E17" s="36" t="n">
        <v>0.12</v>
      </c>
      <c r="F17" s="28" t="n">
        <f aca="false">Products!$E$4</f>
        <v>100</v>
      </c>
      <c r="G17" s="33" t="n">
        <f aca="false">IFERROR(VLOOKUP(C17,$A$7:$D$12,4,FALSE()),0)</f>
        <v>150</v>
      </c>
      <c r="H17" s="33" t="n">
        <f aca="false">E17*F17*IFERROR(VLOOKUP(C17,$A$7:$G$12,7,FALSE()),0)</f>
        <v>696</v>
      </c>
      <c r="I17" s="33" t="n">
        <f aca="false">G17+H17</f>
        <v>846</v>
      </c>
    </row>
    <row r="18" customFormat="false" ht="15" hidden="false" customHeight="false" outlineLevel="0" collapsed="false">
      <c r="A18" s="7" t="n">
        <v>30</v>
      </c>
      <c r="B18" s="34" t="s">
        <v>269</v>
      </c>
      <c r="C18" s="34" t="s">
        <v>253</v>
      </c>
      <c r="D18" s="35" t="n">
        <v>1.5</v>
      </c>
      <c r="E18" s="36" t="n">
        <v>0.18</v>
      </c>
      <c r="F18" s="28" t="n">
        <f aca="false">Products!$E$4</f>
        <v>100</v>
      </c>
      <c r="G18" s="33" t="n">
        <f aca="false">IFERROR(VLOOKUP(C18,$A$7:$D$12,4,FALSE()),0)</f>
        <v>250</v>
      </c>
      <c r="H18" s="33" t="n">
        <f aca="false">E18*F18*IFERROR(VLOOKUP(C18,$A$7:$G$12,7,FALSE()),0)</f>
        <v>1944</v>
      </c>
      <c r="I18" s="33" t="n">
        <f aca="false">G18+H18</f>
        <v>2194</v>
      </c>
    </row>
    <row r="19" customFormat="false" ht="15" hidden="false" customHeight="false" outlineLevel="0" collapsed="false">
      <c r="A19" s="7" t="n">
        <v>35</v>
      </c>
      <c r="B19" s="34" t="s">
        <v>270</v>
      </c>
      <c r="C19" s="34" t="s">
        <v>255</v>
      </c>
      <c r="D19" s="35" t="n">
        <v>0.25</v>
      </c>
      <c r="E19" s="36" t="n">
        <v>0.02</v>
      </c>
      <c r="F19" s="28" t="n">
        <f aca="false">Products!$E$4</f>
        <v>100</v>
      </c>
      <c r="G19" s="33" t="n">
        <f aca="false">IFERROR(VLOOKUP(C19,$A$7:$D$12,4,FALSE()),0)</f>
        <v>100</v>
      </c>
      <c r="H19" s="33" t="n">
        <f aca="false">E19*F19*IFERROR(VLOOKUP(C19,$A$7:$G$12,7,FALSE()),0)</f>
        <v>138</v>
      </c>
      <c r="I19" s="33" t="n">
        <f aca="false">G19+H19</f>
        <v>238</v>
      </c>
    </row>
    <row r="20" customFormat="false" ht="15" hidden="false" customHeight="false" outlineLevel="0" collapsed="false">
      <c r="A20" s="7" t="n">
        <v>55</v>
      </c>
      <c r="B20" s="34" t="s">
        <v>271</v>
      </c>
      <c r="C20" s="34" t="s">
        <v>261</v>
      </c>
      <c r="D20" s="35" t="n">
        <v>0.5</v>
      </c>
      <c r="E20" s="36" t="n">
        <v>0.05</v>
      </c>
      <c r="F20" s="28" t="n">
        <f aca="false">Products!$E$4</f>
        <v>100</v>
      </c>
      <c r="G20" s="33" t="n">
        <f aca="false">IFERROR(VLOOKUP(C20,$A$7:$D$12,4,FALSE()),0)</f>
        <v>25</v>
      </c>
      <c r="H20" s="33" t="n">
        <f aca="false">E20*F20*IFERROR(VLOOKUP(C20,$A$7:$G$12,7,FALSE()),0)</f>
        <v>90</v>
      </c>
      <c r="I20" s="33" t="n">
        <f aca="false">G20+H20</f>
        <v>115</v>
      </c>
    </row>
    <row r="23" customFormat="false" ht="15" hidden="false" customHeight="false" outlineLevel="0" collapsed="false">
      <c r="A23" s="30" t="s">
        <v>272</v>
      </c>
      <c r="B23" s="30"/>
      <c r="C23" s="30"/>
      <c r="D23" s="30"/>
      <c r="E23" s="30"/>
      <c r="F23" s="30"/>
      <c r="G23" s="30"/>
      <c r="H23" s="30"/>
      <c r="I23" s="31" t="n">
        <f aca="false">SUM(I17:I22)</f>
        <v>3393</v>
      </c>
    </row>
    <row r="24" customFormat="false" ht="15" hidden="false" customHeight="false" outlineLevel="0" collapsed="false">
      <c r="A24" s="30" t="s">
        <v>273</v>
      </c>
      <c r="B24" s="30"/>
      <c r="C24" s="30"/>
      <c r="D24" s="30"/>
      <c r="E24" s="30"/>
      <c r="F24" s="30"/>
      <c r="G24" s="30"/>
      <c r="H24" s="30"/>
      <c r="I24" s="31" t="n">
        <f aca="false">IFERROR(I23/Products!$E$4,0)</f>
        <v>33.93</v>
      </c>
    </row>
  </sheetData>
  <mergeCells count="2">
    <mergeCell ref="A23:H23"/>
    <mergeCell ref="A24:H24"/>
  </mergeCells>
  <dataValidations count="1">
    <dataValidation allowBlank="true" errorStyle="stop" operator="between" showDropDown="false" showErrorMessage="false" showInputMessage="false" sqref="C17:C22" type="list">
      <formula1>Machines!$A$7:$A$12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4.3" hidden="false" customHeight="false" outlineLevel="0" collapsed="false">
      <c r="A1" s="1" t="s">
        <v>274</v>
      </c>
    </row>
    <row r="3" customFormat="false" ht="15" hidden="false" customHeight="false" outlineLevel="0" collapsed="false">
      <c r="A3" s="0" t="s">
        <v>182</v>
      </c>
      <c r="B3" s="32" t="s">
        <v>148</v>
      </c>
      <c r="D3" s="38" t="s">
        <v>275</v>
      </c>
      <c r="E3" s="39" t="n">
        <v>5000</v>
      </c>
    </row>
    <row r="5" customFormat="false" ht="15" hidden="false" customHeight="false" outlineLevel="0" collapsed="false">
      <c r="A5" s="3" t="s">
        <v>276</v>
      </c>
    </row>
    <row r="6" customFormat="false" ht="15" hidden="false" customHeight="false" outlineLevel="0" collapsed="false">
      <c r="A6" s="9" t="s">
        <v>277</v>
      </c>
      <c r="B6" s="9" t="s">
        <v>186</v>
      </c>
      <c r="C6" s="9" t="s">
        <v>10</v>
      </c>
      <c r="D6" s="9" t="s">
        <v>278</v>
      </c>
      <c r="E6" s="9" t="s">
        <v>279</v>
      </c>
    </row>
    <row r="7" customFormat="false" ht="15" hidden="false" customHeight="false" outlineLevel="0" collapsed="false">
      <c r="A7" s="15" t="s">
        <v>280</v>
      </c>
      <c r="B7" s="15" t="s">
        <v>281</v>
      </c>
      <c r="C7" s="23" t="n">
        <v>2500</v>
      </c>
      <c r="D7" s="40" t="n">
        <f aca="false">$E$3</f>
        <v>5000</v>
      </c>
      <c r="E7" s="41" t="n">
        <f aca="false">IFERROR(C7/D7,0)</f>
        <v>0.5</v>
      </c>
    </row>
    <row r="8" customFormat="false" ht="15" hidden="false" customHeight="false" outlineLevel="0" collapsed="false">
      <c r="A8" s="15" t="s">
        <v>282</v>
      </c>
      <c r="B8" s="15" t="s">
        <v>283</v>
      </c>
      <c r="C8" s="23" t="n">
        <v>1500</v>
      </c>
      <c r="D8" s="40" t="n">
        <f aca="false">$E$3</f>
        <v>5000</v>
      </c>
      <c r="E8" s="41" t="n">
        <f aca="false">IFERROR(C8/D8,0)</f>
        <v>0.3</v>
      </c>
    </row>
    <row r="9" customFormat="false" ht="15" hidden="false" customHeight="false" outlineLevel="0" collapsed="false">
      <c r="A9" s="15" t="s">
        <v>284</v>
      </c>
      <c r="B9" s="15" t="s">
        <v>285</v>
      </c>
      <c r="C9" s="23" t="n">
        <v>3000</v>
      </c>
      <c r="D9" s="40" t="n">
        <f aca="false">$E$3</f>
        <v>5000</v>
      </c>
      <c r="E9" s="41" t="n">
        <f aca="false">IFERROR(C9/D9,0)</f>
        <v>0.6</v>
      </c>
    </row>
    <row r="10" customFormat="false" ht="15" hidden="false" customHeight="false" outlineLevel="0" collapsed="false">
      <c r="A10" s="15" t="s">
        <v>286</v>
      </c>
      <c r="B10" s="15" t="s">
        <v>287</v>
      </c>
      <c r="C10" s="23" t="n">
        <v>800</v>
      </c>
      <c r="D10" s="40" t="n">
        <f aca="false">$E$3</f>
        <v>5000</v>
      </c>
      <c r="E10" s="41" t="n">
        <f aca="false">IFERROR(C10/D10,0)</f>
        <v>0.16</v>
      </c>
    </row>
    <row r="12" customFormat="false" ht="15" hidden="false" customHeight="false" outlineLevel="0" collapsed="false">
      <c r="A12" s="0" t="s">
        <v>288</v>
      </c>
      <c r="C12" s="42" t="n">
        <f aca="false">SUM(C7:C11)</f>
        <v>7800</v>
      </c>
      <c r="E12" s="43" t="n">
        <f aca="false">SUM(E7:E11)</f>
        <v>1.56</v>
      </c>
    </row>
    <row r="15" customFormat="false" ht="15" hidden="false" customHeight="false" outlineLevel="0" collapsed="false">
      <c r="A15" s="3" t="s">
        <v>289</v>
      </c>
    </row>
    <row r="16" customFormat="false" ht="28.35" hidden="false" customHeight="false" outlineLevel="0" collapsed="false">
      <c r="A16" s="9" t="s">
        <v>290</v>
      </c>
      <c r="B16" s="9" t="s">
        <v>186</v>
      </c>
      <c r="C16" s="9" t="s">
        <v>291</v>
      </c>
      <c r="D16" s="9" t="s">
        <v>292</v>
      </c>
      <c r="E16" s="9" t="s">
        <v>279</v>
      </c>
    </row>
    <row r="17" customFormat="false" ht="15" hidden="false" customHeight="false" outlineLevel="0" collapsed="false">
      <c r="A17" s="15" t="s">
        <v>293</v>
      </c>
      <c r="B17" s="15" t="s">
        <v>294</v>
      </c>
      <c r="C17" s="23" t="n">
        <v>25</v>
      </c>
      <c r="D17" s="24" t="n">
        <v>500</v>
      </c>
      <c r="E17" s="41" t="n">
        <f aca="false">IFERROR(C17/D17,0)</f>
        <v>0.05</v>
      </c>
    </row>
    <row r="18" customFormat="false" ht="15" hidden="false" customHeight="false" outlineLevel="0" collapsed="false">
      <c r="A18" s="15" t="s">
        <v>295</v>
      </c>
      <c r="B18" s="15" t="s">
        <v>296</v>
      </c>
      <c r="C18" s="23" t="n">
        <v>85</v>
      </c>
      <c r="D18" s="24" t="n">
        <v>1000</v>
      </c>
      <c r="E18" s="41" t="n">
        <f aca="false">IFERROR(C18/D18,0)</f>
        <v>0.085</v>
      </c>
    </row>
    <row r="19" customFormat="false" ht="15" hidden="false" customHeight="false" outlineLevel="0" collapsed="false">
      <c r="A19" s="15" t="s">
        <v>297</v>
      </c>
      <c r="B19" s="15" t="s">
        <v>298</v>
      </c>
      <c r="C19" s="23" t="n">
        <v>15</v>
      </c>
      <c r="D19" s="24" t="n">
        <v>2000</v>
      </c>
      <c r="E19" s="41" t="n">
        <f aca="false">IFERROR(C19/D19,0)</f>
        <v>0.0075</v>
      </c>
    </row>
    <row r="20" customFormat="false" ht="15" hidden="false" customHeight="false" outlineLevel="0" collapsed="false">
      <c r="A20" s="15" t="s">
        <v>299</v>
      </c>
      <c r="B20" s="15" t="s">
        <v>300</v>
      </c>
      <c r="C20" s="23" t="n">
        <v>35</v>
      </c>
      <c r="D20" s="24" t="n">
        <v>1500</v>
      </c>
      <c r="E20" s="41" t="n">
        <f aca="false">IFERROR(C20/D20,0)</f>
        <v>0.0233333333333333</v>
      </c>
    </row>
    <row r="22" customFormat="false" ht="15" hidden="false" customHeight="false" outlineLevel="0" collapsed="false">
      <c r="A22" s="0" t="s">
        <v>301</v>
      </c>
      <c r="E22" s="43" t="n">
        <f aca="false">SUM(E17:E21)</f>
        <v>0.165833333333333</v>
      </c>
    </row>
    <row r="24" customFormat="false" ht="15" hidden="false" customHeight="false" outlineLevel="0" collapsed="false">
      <c r="A24" s="4" t="s">
        <v>302</v>
      </c>
      <c r="E24" s="44" t="n">
        <f aca="false">E12+E22</f>
        <v>1.72583333333333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8" min="8" style="0" width="16"/>
  </cols>
  <sheetData>
    <row r="1" customFormat="false" ht="50.7" hidden="false" customHeight="false" outlineLevel="0" collapsed="false">
      <c r="A1" s="1" t="s">
        <v>303</v>
      </c>
    </row>
    <row r="3" customFormat="false" ht="15" hidden="false" customHeight="false" outlineLevel="0" collapsed="false">
      <c r="A3" s="0" t="s">
        <v>182</v>
      </c>
      <c r="B3" s="32" t="s">
        <v>148</v>
      </c>
    </row>
    <row r="5" customFormat="false" ht="28.35" hidden="false" customHeight="false" outlineLevel="0" collapsed="false">
      <c r="A5" s="9" t="s">
        <v>91</v>
      </c>
      <c r="B5" s="9" t="s">
        <v>186</v>
      </c>
      <c r="C5" s="9" t="s">
        <v>304</v>
      </c>
      <c r="D5" s="9" t="s">
        <v>305</v>
      </c>
      <c r="E5" s="9" t="s">
        <v>246</v>
      </c>
      <c r="F5" s="9" t="s">
        <v>279</v>
      </c>
      <c r="G5" s="9" t="s">
        <v>306</v>
      </c>
      <c r="H5" s="9" t="s">
        <v>307</v>
      </c>
    </row>
    <row r="6" customFormat="false" ht="15" hidden="false" customHeight="false" outlineLevel="0" collapsed="false">
      <c r="A6" s="15" t="s">
        <v>308</v>
      </c>
      <c r="B6" s="15" t="s">
        <v>309</v>
      </c>
      <c r="C6" s="15" t="s">
        <v>310</v>
      </c>
      <c r="D6" s="15" t="n">
        <v>2</v>
      </c>
      <c r="E6" s="23" t="n">
        <v>24</v>
      </c>
      <c r="F6" s="33" t="n">
        <f aca="false">(D6/60)*E6</f>
        <v>0.8</v>
      </c>
      <c r="G6" s="45" t="n">
        <v>1</v>
      </c>
      <c r="H6" s="41" t="n">
        <f aca="false">F6*G6</f>
        <v>0.8</v>
      </c>
    </row>
    <row r="7" customFormat="false" ht="15" hidden="false" customHeight="false" outlineLevel="0" collapsed="false">
      <c r="A7" s="15" t="s">
        <v>311</v>
      </c>
      <c r="B7" s="15" t="s">
        <v>312</v>
      </c>
      <c r="C7" s="15" t="s">
        <v>313</v>
      </c>
      <c r="D7" s="15" t="n">
        <v>30</v>
      </c>
      <c r="E7" s="23" t="n">
        <v>45</v>
      </c>
      <c r="F7" s="33" t="n">
        <f aca="false">(D7/60)*E7</f>
        <v>22.5</v>
      </c>
      <c r="G7" s="45" t="n">
        <v>0.02</v>
      </c>
      <c r="H7" s="41" t="n">
        <f aca="false">F7*G7</f>
        <v>0.45</v>
      </c>
    </row>
    <row r="8" customFormat="false" ht="15" hidden="false" customHeight="false" outlineLevel="0" collapsed="false">
      <c r="A8" s="15" t="s">
        <v>314</v>
      </c>
      <c r="B8" s="15" t="s">
        <v>315</v>
      </c>
      <c r="C8" s="15" t="s">
        <v>316</v>
      </c>
      <c r="D8" s="15" t="n">
        <v>3</v>
      </c>
      <c r="E8" s="23" t="n">
        <v>24</v>
      </c>
      <c r="F8" s="33" t="n">
        <f aca="false">(D8/60)*E8</f>
        <v>1.2</v>
      </c>
      <c r="G8" s="45" t="n">
        <v>0.2</v>
      </c>
      <c r="H8" s="41" t="n">
        <f aca="false">F8*G8</f>
        <v>0.24</v>
      </c>
    </row>
    <row r="9" customFormat="false" ht="15" hidden="false" customHeight="false" outlineLevel="0" collapsed="false">
      <c r="A9" s="15" t="s">
        <v>317</v>
      </c>
      <c r="B9" s="15" t="s">
        <v>318</v>
      </c>
      <c r="C9" s="15" t="s">
        <v>319</v>
      </c>
      <c r="D9" s="15" t="n">
        <v>10</v>
      </c>
      <c r="E9" s="23" t="n">
        <v>35</v>
      </c>
      <c r="F9" s="33" t="n">
        <f aca="false">(D9/60)*E9</f>
        <v>5.83333333333333</v>
      </c>
      <c r="G9" s="45" t="n">
        <v>1</v>
      </c>
      <c r="H9" s="41" t="n">
        <f aca="false">F9*G9</f>
        <v>5.83333333333333</v>
      </c>
    </row>
    <row r="10" customFormat="false" ht="15" hidden="false" customHeight="false" outlineLevel="0" collapsed="false">
      <c r="A10" s="15" t="s">
        <v>16</v>
      </c>
      <c r="B10" s="15" t="s">
        <v>320</v>
      </c>
      <c r="C10" s="15" t="s">
        <v>321</v>
      </c>
      <c r="D10" s="15" t="n">
        <v>1</v>
      </c>
      <c r="E10" s="23" t="n">
        <v>18</v>
      </c>
      <c r="F10" s="33" t="n">
        <f aca="false">(D10/60)*E10</f>
        <v>0.3</v>
      </c>
      <c r="G10" s="45" t="n">
        <v>1</v>
      </c>
      <c r="H10" s="41" t="n">
        <f aca="false">F10*G10</f>
        <v>0.3</v>
      </c>
    </row>
    <row r="13" customFormat="false" ht="15" hidden="false" customHeight="false" outlineLevel="0" collapsed="false">
      <c r="A13" s="3" t="s">
        <v>322</v>
      </c>
    </row>
    <row r="14" customFormat="false" ht="15" hidden="false" customHeight="false" outlineLevel="0" collapsed="false">
      <c r="A14" s="9" t="s">
        <v>277</v>
      </c>
      <c r="B14" s="9" t="s">
        <v>186</v>
      </c>
      <c r="C14" s="9" t="s">
        <v>10</v>
      </c>
      <c r="D14" s="9" t="s">
        <v>323</v>
      </c>
      <c r="E14" s="9" t="s">
        <v>279</v>
      </c>
    </row>
    <row r="15" customFormat="false" ht="15" hidden="false" customHeight="false" outlineLevel="0" collapsed="false">
      <c r="A15" s="15" t="s">
        <v>324</v>
      </c>
      <c r="B15" s="15" t="s">
        <v>325</v>
      </c>
      <c r="C15" s="23" t="n">
        <v>25</v>
      </c>
      <c r="D15" s="15" t="n">
        <v>100</v>
      </c>
      <c r="E15" s="41" t="n">
        <f aca="false">IFERROR(C15/D15,0)</f>
        <v>0.25</v>
      </c>
    </row>
    <row r="16" customFormat="false" ht="15" hidden="false" customHeight="false" outlineLevel="0" collapsed="false">
      <c r="A16" s="15" t="s">
        <v>326</v>
      </c>
      <c r="B16" s="15" t="s">
        <v>327</v>
      </c>
      <c r="C16" s="23" t="n">
        <v>15</v>
      </c>
      <c r="D16" s="15" t="n">
        <v>100</v>
      </c>
      <c r="E16" s="41" t="n">
        <f aca="false">IFERROR(C16/D16,0)</f>
        <v>0.15</v>
      </c>
    </row>
    <row r="17" customFormat="false" ht="15" hidden="false" customHeight="false" outlineLevel="0" collapsed="false">
      <c r="A17" s="15" t="s">
        <v>328</v>
      </c>
      <c r="B17" s="15" t="s">
        <v>329</v>
      </c>
      <c r="C17" s="23" t="n">
        <v>50</v>
      </c>
      <c r="D17" s="15" t="n">
        <v>100</v>
      </c>
      <c r="E17" s="41" t="n">
        <f aca="false">IFERROR(C17/D17,0)</f>
        <v>0.5</v>
      </c>
    </row>
    <row r="20" customFormat="false" ht="15" hidden="false" customHeight="false" outlineLevel="0" collapsed="false">
      <c r="A20" s="4" t="s">
        <v>330</v>
      </c>
      <c r="H20" s="44" t="n">
        <f aca="false">SUM(H6:H11)+SUM(E15:E18)</f>
        <v>8.52333333333333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4.3" hidden="false" customHeight="false" outlineLevel="0" collapsed="false">
      <c r="A1" s="1" t="s">
        <v>331</v>
      </c>
    </row>
    <row r="3" customFormat="false" ht="15" hidden="false" customHeight="false" outlineLevel="0" collapsed="false">
      <c r="A3" s="0" t="s">
        <v>182</v>
      </c>
      <c r="B3" s="32" t="s">
        <v>148</v>
      </c>
    </row>
    <row r="5" customFormat="false" ht="15" hidden="false" customHeight="false" outlineLevel="0" collapsed="false">
      <c r="A5" s="3" t="s">
        <v>332</v>
      </c>
    </row>
    <row r="6" customFormat="false" ht="15" hidden="false" customHeight="false" outlineLevel="0" collapsed="false">
      <c r="A6" s="9" t="s">
        <v>277</v>
      </c>
      <c r="B6" s="9" t="s">
        <v>186</v>
      </c>
      <c r="C6" s="9" t="s">
        <v>291</v>
      </c>
      <c r="D6" s="9" t="s">
        <v>198</v>
      </c>
      <c r="E6" s="9" t="s">
        <v>279</v>
      </c>
    </row>
    <row r="7" customFormat="false" ht="15" hidden="false" customHeight="false" outlineLevel="0" collapsed="false">
      <c r="A7" s="15" t="s">
        <v>333</v>
      </c>
      <c r="B7" s="15" t="s">
        <v>334</v>
      </c>
      <c r="C7" s="23" t="n">
        <v>0.85</v>
      </c>
      <c r="D7" s="15" t="n">
        <v>1</v>
      </c>
      <c r="E7" s="33" t="n">
        <f aca="false">C7*D7</f>
        <v>0.85</v>
      </c>
    </row>
    <row r="8" customFormat="false" ht="15" hidden="false" customHeight="false" outlineLevel="0" collapsed="false">
      <c r="A8" s="15" t="s">
        <v>335</v>
      </c>
      <c r="B8" s="15" t="s">
        <v>336</v>
      </c>
      <c r="C8" s="23" t="n">
        <v>0.35</v>
      </c>
      <c r="D8" s="15" t="n">
        <v>1</v>
      </c>
      <c r="E8" s="33" t="n">
        <f aca="false">C8*D8</f>
        <v>0.35</v>
      </c>
    </row>
    <row r="9" customFormat="false" ht="15" hidden="false" customHeight="false" outlineLevel="0" collapsed="false">
      <c r="A9" s="15" t="s">
        <v>337</v>
      </c>
      <c r="B9" s="15" t="s">
        <v>338</v>
      </c>
      <c r="C9" s="23" t="n">
        <v>0.05</v>
      </c>
      <c r="D9" s="15" t="n">
        <v>2</v>
      </c>
      <c r="E9" s="33" t="n">
        <f aca="false">C9*D9</f>
        <v>0.1</v>
      </c>
    </row>
    <row r="10" customFormat="false" ht="15" hidden="false" customHeight="false" outlineLevel="0" collapsed="false">
      <c r="A10" s="15" t="s">
        <v>339</v>
      </c>
      <c r="B10" s="15" t="s">
        <v>340</v>
      </c>
      <c r="C10" s="23" t="n">
        <v>0.12</v>
      </c>
      <c r="D10" s="15" t="n">
        <v>1</v>
      </c>
      <c r="E10" s="33" t="n">
        <f aca="false">C10*D10</f>
        <v>0.12</v>
      </c>
    </row>
    <row r="11" customFormat="false" ht="15" hidden="false" customHeight="false" outlineLevel="0" collapsed="false">
      <c r="A11" s="15" t="s">
        <v>341</v>
      </c>
      <c r="B11" s="15" t="s">
        <v>342</v>
      </c>
      <c r="C11" s="23" t="n">
        <v>0.08</v>
      </c>
      <c r="D11" s="15" t="n">
        <v>1</v>
      </c>
      <c r="E11" s="33" t="n">
        <f aca="false">C11*D11</f>
        <v>0.08</v>
      </c>
    </row>
    <row r="12" customFormat="false" ht="15" hidden="false" customHeight="false" outlineLevel="0" collapsed="false">
      <c r="A12" s="15" t="s">
        <v>343</v>
      </c>
      <c r="B12" s="15" t="s">
        <v>344</v>
      </c>
      <c r="C12" s="23" t="n">
        <v>0.25</v>
      </c>
      <c r="D12" s="15" t="n">
        <v>1</v>
      </c>
      <c r="E12" s="33" t="n">
        <f aca="false">C12*D12</f>
        <v>0.25</v>
      </c>
    </row>
    <row r="14" customFormat="false" ht="15" hidden="false" customHeight="false" outlineLevel="0" collapsed="false">
      <c r="A14" s="0" t="s">
        <v>345</v>
      </c>
      <c r="E14" s="42" t="n">
        <f aca="false">SUM(E7:E13)</f>
        <v>1.75</v>
      </c>
    </row>
    <row r="17" customFormat="false" ht="15" hidden="false" customHeight="false" outlineLevel="0" collapsed="false">
      <c r="A17" s="3" t="s">
        <v>346</v>
      </c>
    </row>
    <row r="18" customFormat="false" ht="15" hidden="false" customHeight="false" outlineLevel="0" collapsed="false">
      <c r="A18" s="9" t="s">
        <v>277</v>
      </c>
      <c r="B18" s="9" t="s">
        <v>186</v>
      </c>
      <c r="C18" s="9" t="s">
        <v>10</v>
      </c>
      <c r="D18" s="9" t="s">
        <v>347</v>
      </c>
      <c r="E18" s="9" t="s">
        <v>279</v>
      </c>
    </row>
    <row r="19" customFormat="false" ht="15" hidden="false" customHeight="false" outlineLevel="0" collapsed="false">
      <c r="A19" s="15" t="s">
        <v>348</v>
      </c>
      <c r="B19" s="15" t="s">
        <v>349</v>
      </c>
      <c r="C19" s="23" t="n">
        <v>2.5</v>
      </c>
      <c r="D19" s="15" t="n">
        <v>10</v>
      </c>
      <c r="E19" s="41" t="n">
        <f aca="false">IFERROR(C19/D19,0)</f>
        <v>0.25</v>
      </c>
    </row>
    <row r="20" customFormat="false" ht="15" hidden="false" customHeight="false" outlineLevel="0" collapsed="false">
      <c r="A20" s="15" t="s">
        <v>350</v>
      </c>
      <c r="B20" s="15" t="s">
        <v>351</v>
      </c>
      <c r="C20" s="23" t="n">
        <v>1.2</v>
      </c>
      <c r="D20" s="15" t="n">
        <v>100</v>
      </c>
      <c r="E20" s="41" t="n">
        <f aca="false">IFERROR(C20/D20,0)</f>
        <v>0.012</v>
      </c>
    </row>
    <row r="21" customFormat="false" ht="15" hidden="false" customHeight="false" outlineLevel="0" collapsed="false">
      <c r="A21" s="15" t="s">
        <v>352</v>
      </c>
      <c r="B21" s="15" t="s">
        <v>353</v>
      </c>
      <c r="C21" s="23" t="n">
        <v>0.8</v>
      </c>
      <c r="D21" s="15" t="n">
        <v>100</v>
      </c>
      <c r="E21" s="41" t="n">
        <f aca="false">IFERROR(C21/D21,0)</f>
        <v>0.008</v>
      </c>
    </row>
    <row r="22" customFormat="false" ht="15" hidden="false" customHeight="false" outlineLevel="0" collapsed="false">
      <c r="A22" s="15" t="s">
        <v>354</v>
      </c>
      <c r="B22" s="15" t="s">
        <v>355</v>
      </c>
      <c r="C22" s="23" t="n">
        <v>8</v>
      </c>
      <c r="D22" s="15" t="n">
        <v>200</v>
      </c>
      <c r="E22" s="41" t="n">
        <f aca="false">IFERROR(C22/D22,0)</f>
        <v>0.04</v>
      </c>
    </row>
    <row r="24" customFormat="false" ht="15" hidden="false" customHeight="false" outlineLevel="0" collapsed="false">
      <c r="A24" s="0" t="s">
        <v>356</v>
      </c>
      <c r="E24" s="43" t="n">
        <f aca="false">SUM(E19:E23)</f>
        <v>0.31</v>
      </c>
    </row>
    <row r="26" customFormat="false" ht="15" hidden="false" customHeight="false" outlineLevel="0" collapsed="false">
      <c r="A26" s="4" t="s">
        <v>357</v>
      </c>
      <c r="E26" s="31" t="n">
        <f aca="false">E14+E24</f>
        <v>2.06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4.3" hidden="false" customHeight="false" outlineLevel="0" collapsed="false">
      <c r="A1" s="1" t="s">
        <v>358</v>
      </c>
    </row>
    <row r="3" customFormat="false" ht="15" hidden="false" customHeight="false" outlineLevel="0" collapsed="false">
      <c r="A3" s="0" t="s">
        <v>182</v>
      </c>
      <c r="B3" s="32" t="s">
        <v>148</v>
      </c>
      <c r="D3" s="38" t="s">
        <v>359</v>
      </c>
      <c r="E3" s="32" t="n">
        <v>100</v>
      </c>
    </row>
    <row r="5" customFormat="false" ht="15" hidden="false" customHeight="false" outlineLevel="0" collapsed="false">
      <c r="A5" s="3" t="s">
        <v>360</v>
      </c>
    </row>
    <row r="6" customFormat="false" ht="15" hidden="false" customHeight="false" outlineLevel="0" collapsed="false">
      <c r="A6" s="4" t="s">
        <v>361</v>
      </c>
      <c r="B6" s="15" t="n">
        <v>2.5</v>
      </c>
    </row>
    <row r="7" customFormat="false" ht="15" hidden="false" customHeight="false" outlineLevel="0" collapsed="false">
      <c r="A7" s="4" t="s">
        <v>362</v>
      </c>
      <c r="B7" s="15" t="n">
        <v>0.005</v>
      </c>
    </row>
    <row r="8" customFormat="false" ht="15" hidden="false" customHeight="false" outlineLevel="0" collapsed="false">
      <c r="A8" s="4" t="s">
        <v>363</v>
      </c>
      <c r="B8" s="15" t="n">
        <v>10</v>
      </c>
    </row>
    <row r="9" customFormat="false" ht="15" hidden="false" customHeight="false" outlineLevel="0" collapsed="false">
      <c r="A9" s="4" t="s">
        <v>364</v>
      </c>
      <c r="B9" s="15" t="n">
        <v>28</v>
      </c>
    </row>
    <row r="10" customFormat="false" ht="15" hidden="false" customHeight="false" outlineLevel="0" collapsed="false">
      <c r="A10" s="4" t="s">
        <v>365</v>
      </c>
      <c r="B10" s="15" t="s">
        <v>366</v>
      </c>
    </row>
    <row r="13" customFormat="false" ht="15" hidden="false" customHeight="false" outlineLevel="0" collapsed="false">
      <c r="A13" s="3" t="s">
        <v>367</v>
      </c>
    </row>
    <row r="14" customFormat="false" ht="15" hidden="false" customHeight="false" outlineLevel="0" collapsed="false">
      <c r="A14" s="9" t="s">
        <v>368</v>
      </c>
      <c r="B14" s="9" t="s">
        <v>369</v>
      </c>
      <c r="C14" s="9" t="s">
        <v>370</v>
      </c>
      <c r="D14" s="9" t="s">
        <v>371</v>
      </c>
      <c r="E14" s="9" t="s">
        <v>372</v>
      </c>
      <c r="F14" s="9" t="s">
        <v>373</v>
      </c>
      <c r="G14" s="9" t="s">
        <v>374</v>
      </c>
      <c r="H14" s="9" t="s">
        <v>279</v>
      </c>
    </row>
    <row r="15" customFormat="false" ht="15" hidden="false" customHeight="false" outlineLevel="0" collapsed="false">
      <c r="A15" s="15" t="s">
        <v>375</v>
      </c>
      <c r="B15" s="15" t="s">
        <v>376</v>
      </c>
      <c r="C15" s="15" t="s">
        <v>377</v>
      </c>
      <c r="D15" s="15" t="n">
        <v>25</v>
      </c>
      <c r="E15" s="23" t="n">
        <v>0.08</v>
      </c>
      <c r="F15" s="23" t="n">
        <v>1500</v>
      </c>
      <c r="G15" s="33" t="n">
        <f aca="false">MAX(E15*$B$6*$E$3,F15)</f>
        <v>1500</v>
      </c>
      <c r="H15" s="33" t="n">
        <f aca="false">IFERROR(G15/$E$3,0)</f>
        <v>15</v>
      </c>
    </row>
    <row r="16" customFormat="false" ht="15" hidden="false" customHeight="false" outlineLevel="0" collapsed="false">
      <c r="A16" s="15" t="s">
        <v>378</v>
      </c>
      <c r="B16" s="15" t="s">
        <v>376</v>
      </c>
      <c r="C16" s="15" t="s">
        <v>377</v>
      </c>
      <c r="D16" s="15" t="n">
        <v>30</v>
      </c>
      <c r="E16" s="23" t="n">
        <v>0.15</v>
      </c>
      <c r="F16" s="23" t="n">
        <v>150</v>
      </c>
      <c r="G16" s="33" t="n">
        <f aca="false">MAX(E16*$B$6*$E$3,F16)</f>
        <v>150</v>
      </c>
      <c r="H16" s="33" t="n">
        <f aca="false">IFERROR(G16/$E$3,0)</f>
        <v>1.5</v>
      </c>
    </row>
    <row r="17" customFormat="false" ht="15" hidden="false" customHeight="false" outlineLevel="0" collapsed="false">
      <c r="A17" s="15" t="s">
        <v>379</v>
      </c>
      <c r="B17" s="15" t="s">
        <v>376</v>
      </c>
      <c r="C17" s="15" t="s">
        <v>377</v>
      </c>
      <c r="D17" s="15" t="n">
        <v>5</v>
      </c>
      <c r="E17" s="23" t="n">
        <v>4.5</v>
      </c>
      <c r="F17" s="23" t="n">
        <v>100</v>
      </c>
      <c r="G17" s="33" t="n">
        <f aca="false">MAX(E17*$B$6*$E$3,F17)</f>
        <v>1125</v>
      </c>
      <c r="H17" s="33" t="n">
        <f aca="false">IFERROR(G17/$E$3,0)</f>
        <v>11.25</v>
      </c>
    </row>
    <row r="18" customFormat="false" ht="15" hidden="false" customHeight="false" outlineLevel="0" collapsed="false">
      <c r="A18" s="15" t="s">
        <v>380</v>
      </c>
      <c r="B18" s="15" t="s">
        <v>376</v>
      </c>
      <c r="C18" s="15" t="s">
        <v>377</v>
      </c>
      <c r="D18" s="15" t="n">
        <v>3</v>
      </c>
      <c r="E18" s="23" t="n">
        <v>8</v>
      </c>
      <c r="F18" s="23" t="n">
        <v>50</v>
      </c>
      <c r="G18" s="33" t="n">
        <f aca="false">MAX(E18*$B$6*$E$3,F18)</f>
        <v>2000</v>
      </c>
      <c r="H18" s="33" t="n">
        <f aca="false">IFERROR(G18/$E$3,0)</f>
        <v>20</v>
      </c>
    </row>
    <row r="19" customFormat="false" ht="15" hidden="false" customHeight="false" outlineLevel="0" collapsed="false">
      <c r="A19" s="15" t="s">
        <v>381</v>
      </c>
      <c r="B19" s="15" t="s">
        <v>377</v>
      </c>
      <c r="C19" s="15" t="s">
        <v>382</v>
      </c>
      <c r="D19" s="15" t="n">
        <v>5</v>
      </c>
      <c r="E19" s="23" t="n">
        <v>0.25</v>
      </c>
      <c r="F19" s="23" t="n">
        <v>25</v>
      </c>
      <c r="G19" s="33" t="n">
        <f aca="false">MAX(E19*$B$6*$E$3,F19)</f>
        <v>62.5</v>
      </c>
      <c r="H19" s="33" t="n">
        <f aca="false">IFERROR(G19/$E$3,0)</f>
        <v>0.625</v>
      </c>
    </row>
    <row r="22" customFormat="false" ht="15" hidden="false" customHeight="false" outlineLevel="0" collapsed="false">
      <c r="A22" s="3" t="s">
        <v>383</v>
      </c>
    </row>
    <row r="23" customFormat="false" ht="15" hidden="false" customHeight="false" outlineLevel="0" collapsed="false">
      <c r="A23" s="9" t="s">
        <v>277</v>
      </c>
      <c r="B23" s="9" t="s">
        <v>186</v>
      </c>
      <c r="C23" s="9" t="s">
        <v>10</v>
      </c>
      <c r="D23" s="9" t="s">
        <v>384</v>
      </c>
      <c r="E23" s="9" t="s">
        <v>279</v>
      </c>
    </row>
    <row r="24" customFormat="false" ht="15" hidden="false" customHeight="false" outlineLevel="0" collapsed="false">
      <c r="A24" s="34" t="s">
        <v>385</v>
      </c>
      <c r="B24" s="34" t="s">
        <v>386</v>
      </c>
      <c r="C24" s="23" t="n">
        <v>150</v>
      </c>
      <c r="D24" s="10" t="n">
        <f aca="false">$E$3</f>
        <v>100</v>
      </c>
      <c r="E24" s="33" t="n">
        <f aca="false">IFERROR(C24/D24,C24)</f>
        <v>1.5</v>
      </c>
    </row>
    <row r="25" customFormat="false" ht="15" hidden="false" customHeight="false" outlineLevel="0" collapsed="false">
      <c r="A25" s="34" t="s">
        <v>387</v>
      </c>
      <c r="B25" s="34" t="s">
        <v>388</v>
      </c>
      <c r="C25" s="46" t="e">
        <f aca="false">BOM!Q15*0.05</f>
        <v>#VALUE!</v>
      </c>
      <c r="D25" s="10" t="n">
        <f aca="false">$E$3</f>
        <v>100</v>
      </c>
      <c r="E25" s="33" t="e">
        <f aca="false">IFERROR(C25/D25,C25)</f>
        <v>#VALUE!</v>
      </c>
    </row>
    <row r="26" customFormat="false" ht="15" hidden="false" customHeight="false" outlineLevel="0" collapsed="false">
      <c r="A26" s="34" t="s">
        <v>389</v>
      </c>
      <c r="B26" s="34" t="s">
        <v>390</v>
      </c>
      <c r="C26" s="46" t="e">
        <f aca="false">BOM!Q15*0.01</f>
        <v>#VALUE!</v>
      </c>
      <c r="D26" s="10" t="n">
        <f aca="false">$E$3</f>
        <v>100</v>
      </c>
      <c r="E26" s="33" t="e">
        <f aca="false">IFERROR(C26/D26,C26)</f>
        <v>#VALUE!</v>
      </c>
    </row>
    <row r="27" customFormat="false" ht="15" hidden="false" customHeight="false" outlineLevel="0" collapsed="false">
      <c r="A27" s="34" t="s">
        <v>391</v>
      </c>
      <c r="B27" s="34" t="s">
        <v>392</v>
      </c>
      <c r="C27" s="23" t="n">
        <v>0.5</v>
      </c>
      <c r="D27" s="34" t="n">
        <v>1</v>
      </c>
      <c r="E27" s="33" t="n">
        <f aca="false">IFERROR(C27/D27,C27)</f>
        <v>0.5</v>
      </c>
    </row>
    <row r="30" customFormat="false" ht="15" hidden="false" customHeight="false" outlineLevel="0" collapsed="false">
      <c r="A30" s="4" t="s">
        <v>393</v>
      </c>
      <c r="B30" s="32" t="s">
        <v>378</v>
      </c>
    </row>
    <row r="31" customFormat="false" ht="15" hidden="false" customHeight="false" outlineLevel="0" collapsed="false">
      <c r="A31" s="4" t="s">
        <v>394</v>
      </c>
      <c r="E31" s="31" t="e">
        <f aca="false">IFERROR(VLOOKUP(B30,A15:H19,8,FALSE()),0)+SUM(E24:E28)</f>
        <v>#VALUE!</v>
      </c>
    </row>
  </sheetData>
  <dataValidations count="1">
    <dataValidation allowBlank="true" errorStyle="stop" operator="between" showDropDown="false" showErrorMessage="false" showInputMessage="false" sqref="B30" type="list">
      <formula1>"Sea Freight (FCL),Sea Freight (LCL),Air Freight,Air Express,Ground (Domestic)"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2"/>
  </cols>
  <sheetData>
    <row r="1" customFormat="false" ht="34.3" hidden="false" customHeight="false" outlineLevel="0" collapsed="false">
      <c r="A1" s="1" t="s">
        <v>395</v>
      </c>
    </row>
    <row r="3" customFormat="false" ht="15" hidden="false" customHeight="false" outlineLevel="0" collapsed="false">
      <c r="A3" s="0" t="s">
        <v>396</v>
      </c>
      <c r="B3" s="32" t="s">
        <v>148</v>
      </c>
      <c r="C3" s="38" t="s">
        <v>397</v>
      </c>
      <c r="D3" s="2" t="str">
        <f aca="false">IFERROR(VLOOKUP(B3,Products!A:B,2,FALSE()),"-")</f>
        <v>Precision Gear Assembly</v>
      </c>
      <c r="E3" s="38" t="s">
        <v>398</v>
      </c>
      <c r="F3" s="47" t="n">
        <f aca="false">Products!$E$4</f>
        <v>100</v>
      </c>
    </row>
    <row r="5" customFormat="false" ht="15" hidden="false" customHeight="false" outlineLevel="0" collapsed="false">
      <c r="A5" s="3" t="s">
        <v>399</v>
      </c>
    </row>
    <row r="6" customFormat="false" ht="15" hidden="false" customHeight="false" outlineLevel="0" collapsed="false">
      <c r="A6" s="9" t="s">
        <v>75</v>
      </c>
      <c r="B6" s="9" t="s">
        <v>400</v>
      </c>
      <c r="C6" s="9" t="s">
        <v>401</v>
      </c>
      <c r="D6" s="9" t="s">
        <v>402</v>
      </c>
    </row>
    <row r="7" customFormat="false" ht="15" hidden="false" customHeight="false" outlineLevel="0" collapsed="false">
      <c r="A7" s="7" t="s">
        <v>403</v>
      </c>
      <c r="B7" s="46" t="e">
        <f aca="false">BOM!Q15</f>
        <v>#VALUE!</v>
      </c>
      <c r="C7" s="46" t="n">
        <f aca="false">IFERROR(B7/F3,0)</f>
        <v>0</v>
      </c>
      <c r="D7" s="20" t="n">
        <f aca="false">IFERROR(C7/$C$14,0)</f>
        <v>0</v>
      </c>
    </row>
    <row r="8" customFormat="false" ht="15" hidden="false" customHeight="false" outlineLevel="0" collapsed="false">
      <c r="A8" s="7" t="s">
        <v>404</v>
      </c>
      <c r="B8" s="46" t="n">
        <f aca="false">Labor!H26</f>
        <v>2005.205</v>
      </c>
      <c r="C8" s="46" t="n">
        <f aca="false">Labor!H27</f>
        <v>20.05205</v>
      </c>
      <c r="D8" s="20" t="n">
        <f aca="false">IFERROR(C8/$C$14,0)</f>
        <v>0</v>
      </c>
    </row>
    <row r="9" customFormat="false" ht="15" hidden="false" customHeight="false" outlineLevel="0" collapsed="false">
      <c r="A9" s="7" t="s">
        <v>405</v>
      </c>
      <c r="B9" s="46" t="n">
        <f aca="false">Machines!I23</f>
        <v>3393</v>
      </c>
      <c r="C9" s="46" t="n">
        <f aca="false">Machines!I24</f>
        <v>33.93</v>
      </c>
      <c r="D9" s="20" t="n">
        <f aca="false">IFERROR(C9/$C$14,0)</f>
        <v>0</v>
      </c>
    </row>
    <row r="10" customFormat="false" ht="15" hidden="false" customHeight="false" outlineLevel="0" collapsed="false">
      <c r="A10" s="7" t="s">
        <v>406</v>
      </c>
      <c r="B10" s="46" t="n">
        <f aca="false">Tooling!E24*F3</f>
        <v>172.583333333333</v>
      </c>
      <c r="C10" s="46" t="n">
        <f aca="false">Tooling!E24</f>
        <v>1.72583333333333</v>
      </c>
      <c r="D10" s="20" t="n">
        <f aca="false">IFERROR(C10/$C$14,0)</f>
        <v>0</v>
      </c>
    </row>
    <row r="11" customFormat="false" ht="15" hidden="false" customHeight="false" outlineLevel="0" collapsed="false">
      <c r="A11" s="7" t="s">
        <v>407</v>
      </c>
      <c r="B11" s="46" t="n">
        <f aca="false">Quality!H20*F3</f>
        <v>852.333333333333</v>
      </c>
      <c r="C11" s="46" t="n">
        <f aca="false">Quality!H20</f>
        <v>8.52333333333333</v>
      </c>
      <c r="D11" s="20" t="n">
        <f aca="false">IFERROR(C11/$C$14,0)</f>
        <v>0</v>
      </c>
    </row>
    <row r="12" customFormat="false" ht="15" hidden="false" customHeight="false" outlineLevel="0" collapsed="false">
      <c r="A12" s="7" t="s">
        <v>16</v>
      </c>
      <c r="B12" s="46" t="n">
        <f aca="false">Packaging!E26*F3</f>
        <v>206</v>
      </c>
      <c r="C12" s="46" t="n">
        <f aca="false">Packaging!E26</f>
        <v>2.06</v>
      </c>
      <c r="D12" s="20" t="n">
        <f aca="false">IFERROR(C12/$C$14,0)</f>
        <v>0</v>
      </c>
    </row>
    <row r="13" customFormat="false" ht="15" hidden="false" customHeight="false" outlineLevel="0" collapsed="false">
      <c r="A13" s="7" t="s">
        <v>408</v>
      </c>
      <c r="B13" s="46" t="e">
        <f aca="false">Logistics!E31*F3</f>
        <v>#VALUE!</v>
      </c>
      <c r="C13" s="46" t="e">
        <f aca="false">Logistics!E31</f>
        <v>#VALUE!</v>
      </c>
      <c r="D13" s="20" t="n">
        <f aca="false">IFERROR(C13/$C$14,0)</f>
        <v>0</v>
      </c>
    </row>
    <row r="14" customFormat="false" ht="15" hidden="false" customHeight="false" outlineLevel="0" collapsed="false">
      <c r="A14" s="48" t="s">
        <v>409</v>
      </c>
      <c r="B14" s="31" t="e">
        <f aca="false">SUM(B7:B13)</f>
        <v>#VALUE!</v>
      </c>
      <c r="C14" s="31" t="e">
        <f aca="false">SUM(C7:C13)</f>
        <v>#VALUE!</v>
      </c>
      <c r="D14" s="49" t="n">
        <f aca="false">SUM(D7:D13)</f>
        <v>0</v>
      </c>
    </row>
    <row r="16" customFormat="false" ht="15" hidden="false" customHeight="false" outlineLevel="0" collapsed="false">
      <c r="A16" s="3" t="s">
        <v>410</v>
      </c>
    </row>
    <row r="17" customFormat="false" ht="15" hidden="false" customHeight="false" outlineLevel="0" collapsed="false">
      <c r="A17" s="7" t="s">
        <v>79</v>
      </c>
      <c r="B17" s="46" t="n">
        <f aca="false">Settings!C25*Labor!H26</f>
        <v>1704.42425</v>
      </c>
      <c r="C17" s="46" t="n">
        <f aca="false">IFERROR(B17/F3,0)</f>
        <v>17.0442425</v>
      </c>
    </row>
    <row r="18" customFormat="false" ht="15" hidden="false" customHeight="false" outlineLevel="0" collapsed="false">
      <c r="A18" s="7" t="s">
        <v>82</v>
      </c>
      <c r="B18" s="46" t="e">
        <f aca="false">Settings!C26*B14</f>
        <v>#VALUE!</v>
      </c>
      <c r="C18" s="46" t="n">
        <f aca="false">IFERROR(B18/F3,0)</f>
        <v>0</v>
      </c>
    </row>
    <row r="19" customFormat="false" ht="15" hidden="false" customHeight="false" outlineLevel="0" collapsed="false">
      <c r="A19" s="7" t="s">
        <v>85</v>
      </c>
      <c r="B19" s="46" t="n">
        <f aca="false">Settings!C27*Labor!H26</f>
        <v>300.78075</v>
      </c>
      <c r="C19" s="46" t="n">
        <f aca="false">IFERROR(B19/F3,0)</f>
        <v>3.0078075</v>
      </c>
    </row>
    <row r="20" customFormat="false" ht="15" hidden="false" customHeight="false" outlineLevel="0" collapsed="false">
      <c r="A20" s="4" t="s">
        <v>411</v>
      </c>
      <c r="B20" s="42" t="e">
        <f aca="false">SUM(B17:B19)</f>
        <v>#VALUE!</v>
      </c>
      <c r="C20" s="42" t="n">
        <f aca="false">SUM(C17:C19)</f>
        <v>20.05205</v>
      </c>
    </row>
    <row r="22" customFormat="false" ht="17.35" hidden="false" customHeight="false" outlineLevel="0" collapsed="false">
      <c r="A22" s="50" t="s">
        <v>412</v>
      </c>
      <c r="B22" s="51" t="e">
        <f aca="false">B14+B20</f>
        <v>#VALUE!</v>
      </c>
      <c r="C22" s="51" t="e">
        <f aca="false">C14+C20</f>
        <v>#VALUE!</v>
      </c>
    </row>
    <row r="25" customFormat="false" ht="15" hidden="false" customHeight="false" outlineLevel="0" collapsed="false">
      <c r="A25" s="3" t="s">
        <v>413</v>
      </c>
    </row>
    <row r="26" customFormat="false" ht="15" hidden="false" customHeight="false" outlineLevel="0" collapsed="false">
      <c r="A26" s="0" t="s">
        <v>414</v>
      </c>
      <c r="B26" s="15" t="n">
        <v>100</v>
      </c>
    </row>
    <row r="27" customFormat="false" ht="15" hidden="false" customHeight="false" outlineLevel="0" collapsed="false">
      <c r="A27" s="0" t="s">
        <v>415</v>
      </c>
      <c r="B27" s="52" t="str">
        <f aca="false">IF(B26&lt;=100,"Tier 1",IF(B26&lt;=500,"Tier 2",IF(B26&lt;=1000,"Tier 3","Tier 4")))</f>
        <v>Tier 1</v>
      </c>
    </row>
    <row r="28" customFormat="false" ht="15" hidden="false" customHeight="false" outlineLevel="0" collapsed="false">
      <c r="A28" s="0" t="s">
        <v>416</v>
      </c>
      <c r="B28" s="53" t="n">
        <f aca="false">IFERROR(VLOOKUP(B27,Settings!A17:C20,3,FALSE()),0)</f>
        <v>0</v>
      </c>
    </row>
    <row r="30" customFormat="false" ht="17.35" hidden="false" customHeight="false" outlineLevel="0" collapsed="false">
      <c r="A30" s="50" t="s">
        <v>417</v>
      </c>
      <c r="B30" s="54" t="e">
        <f aca="false">C22*(1+B28)</f>
        <v>#VALUE!</v>
      </c>
    </row>
    <row r="31" customFormat="false" ht="15" hidden="false" customHeight="false" outlineLevel="0" collapsed="false">
      <c r="A31" s="0" t="s">
        <v>418</v>
      </c>
      <c r="B31" s="55" t="e">
        <f aca="false">B30-C22</f>
        <v>#VALUE!</v>
      </c>
    </row>
    <row r="32" customFormat="false" ht="15" hidden="false" customHeight="false" outlineLevel="0" collapsed="false">
      <c r="A32" s="0" t="s">
        <v>419</v>
      </c>
      <c r="B32" s="53" t="n">
        <f aca="false">IFERROR(B31/B30,0)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34.3" hidden="false" customHeight="false" outlineLevel="0" collapsed="false">
      <c r="A1" s="1" t="s">
        <v>420</v>
      </c>
    </row>
    <row r="3" customFormat="false" ht="15" hidden="false" customHeight="false" outlineLevel="0" collapsed="false">
      <c r="A3" s="3" t="s">
        <v>421</v>
      </c>
      <c r="D3" s="3" t="s">
        <v>422</v>
      </c>
    </row>
    <row r="4" customFormat="false" ht="15" hidden="false" customHeight="false" outlineLevel="0" collapsed="false">
      <c r="A4" s="4" t="s">
        <v>423</v>
      </c>
      <c r="B4" s="15" t="s">
        <v>424</v>
      </c>
      <c r="D4" s="4" t="s">
        <v>425</v>
      </c>
      <c r="E4" s="15"/>
    </row>
    <row r="5" customFormat="false" ht="15" hidden="false" customHeight="false" outlineLevel="0" collapsed="false">
      <c r="A5" s="4" t="s">
        <v>426</v>
      </c>
      <c r="B5" s="15" t="s">
        <v>427</v>
      </c>
      <c r="D5" s="4" t="s">
        <v>428</v>
      </c>
      <c r="E5" s="15"/>
    </row>
    <row r="6" customFormat="false" ht="15" hidden="false" customHeight="false" outlineLevel="0" collapsed="false">
      <c r="A6" s="4" t="s">
        <v>429</v>
      </c>
      <c r="B6" s="15"/>
      <c r="D6" s="4" t="s">
        <v>430</v>
      </c>
      <c r="E6" s="15"/>
    </row>
    <row r="7" customFormat="false" ht="15" hidden="false" customHeight="false" outlineLevel="0" collapsed="false">
      <c r="A7" s="4" t="s">
        <v>431</v>
      </c>
      <c r="B7" s="15" t="s">
        <v>432</v>
      </c>
      <c r="D7" s="4" t="s">
        <v>433</v>
      </c>
      <c r="E7" s="15"/>
    </row>
    <row r="8" customFormat="false" ht="15" hidden="false" customHeight="false" outlineLevel="0" collapsed="false">
      <c r="A8" s="4" t="s">
        <v>434</v>
      </c>
      <c r="B8" s="15"/>
      <c r="D8" s="4" t="s">
        <v>435</v>
      </c>
      <c r="E8" s="15"/>
    </row>
    <row r="11" customFormat="false" ht="15" hidden="false" customHeight="false" outlineLevel="0" collapsed="false">
      <c r="A11" s="3" t="s">
        <v>436</v>
      </c>
    </row>
    <row r="12" customFormat="false" ht="15" hidden="false" customHeight="false" outlineLevel="0" collapsed="false">
      <c r="A12" s="9" t="s">
        <v>437</v>
      </c>
      <c r="B12" s="9" t="s">
        <v>142</v>
      </c>
      <c r="C12" s="9" t="s">
        <v>186</v>
      </c>
      <c r="D12" s="9" t="s">
        <v>438</v>
      </c>
      <c r="E12" s="9" t="s">
        <v>439</v>
      </c>
      <c r="F12" s="9" t="s">
        <v>440</v>
      </c>
      <c r="G12" s="9" t="s">
        <v>23</v>
      </c>
      <c r="H12" s="9" t="s">
        <v>78</v>
      </c>
    </row>
    <row r="13" customFormat="false" ht="15" hidden="false" customHeight="false" outlineLevel="0" collapsed="false">
      <c r="A13" s="7" t="n">
        <v>1</v>
      </c>
      <c r="B13" s="15" t="s">
        <v>148</v>
      </c>
      <c r="C13" s="18" t="str">
        <f aca="false">IFERROR(VLOOKUP(B13,Products!A:B,2,FALSE()),"")</f>
        <v>Precision Gear Assembly</v>
      </c>
      <c r="D13" s="24" t="n">
        <v>100</v>
      </c>
      <c r="E13" s="23" t="e">
        <f aca="false">"Cost Summary"!B30</f>
        <v>#VALUE!</v>
      </c>
      <c r="F13" s="33" t="n">
        <f aca="false">IFERROR(D13*E13,0)</f>
        <v>0</v>
      </c>
      <c r="G13" s="15" t="s">
        <v>441</v>
      </c>
      <c r="H13" s="15"/>
    </row>
    <row r="14" customFormat="false" ht="15" hidden="false" customHeight="false" outlineLevel="0" collapsed="false">
      <c r="A14" s="7" t="n">
        <v>2</v>
      </c>
      <c r="B14" s="15"/>
      <c r="C14" s="18" t="str">
        <f aca="false">IFERROR(VLOOKUP(B14,Products!A:B,2,FALSE()),"")</f>
        <v/>
      </c>
      <c r="D14" s="24"/>
      <c r="E14" s="23"/>
      <c r="F14" s="33" t="n">
        <f aca="false">IFERROR(D14*E14,0)</f>
        <v>0</v>
      </c>
      <c r="G14" s="15"/>
      <c r="H14" s="15"/>
    </row>
    <row r="15" customFormat="false" ht="15" hidden="false" customHeight="false" outlineLevel="0" collapsed="false">
      <c r="A15" s="7" t="n">
        <v>3</v>
      </c>
      <c r="B15" s="15"/>
      <c r="C15" s="18" t="str">
        <f aca="false">IFERROR(VLOOKUP(B15,Products!A:B,2,FALSE()),"")</f>
        <v/>
      </c>
      <c r="D15" s="24"/>
      <c r="E15" s="23"/>
      <c r="F15" s="33" t="n">
        <f aca="false">IFERROR(D15*E15,0)</f>
        <v>0</v>
      </c>
      <c r="G15" s="15"/>
      <c r="H15" s="15"/>
    </row>
    <row r="16" customFormat="false" ht="15" hidden="false" customHeight="false" outlineLevel="0" collapsed="false">
      <c r="A16" s="7" t="n">
        <v>4</v>
      </c>
      <c r="B16" s="15"/>
      <c r="C16" s="18" t="str">
        <f aca="false">IFERROR(VLOOKUP(B16,Products!A:B,2,FALSE()),"")</f>
        <v/>
      </c>
      <c r="D16" s="24"/>
      <c r="E16" s="23"/>
      <c r="F16" s="33" t="n">
        <f aca="false">IFERROR(D16*E16,0)</f>
        <v>0</v>
      </c>
      <c r="G16" s="15"/>
      <c r="H16" s="15"/>
    </row>
    <row r="17" customFormat="false" ht="15" hidden="false" customHeight="false" outlineLevel="0" collapsed="false">
      <c r="A17" s="7" t="n">
        <v>5</v>
      </c>
      <c r="B17" s="15"/>
      <c r="C17" s="18" t="str">
        <f aca="false">IFERROR(VLOOKUP(B17,Products!A:B,2,FALSE()),"")</f>
        <v/>
      </c>
      <c r="D17" s="24"/>
      <c r="E17" s="23"/>
      <c r="F17" s="33" t="n">
        <f aca="false">IFERROR(D17*E17,0)</f>
        <v>0</v>
      </c>
      <c r="G17" s="15"/>
      <c r="H17" s="15"/>
    </row>
    <row r="18" customFormat="false" ht="15" hidden="false" customHeight="false" outlineLevel="0" collapsed="false">
      <c r="A18" s="7" t="n">
        <v>6</v>
      </c>
      <c r="B18" s="15"/>
      <c r="C18" s="18" t="str">
        <f aca="false">IFERROR(VLOOKUP(B18,Products!A:B,2,FALSE()),"")</f>
        <v/>
      </c>
      <c r="D18" s="24"/>
      <c r="E18" s="23"/>
      <c r="F18" s="33" t="n">
        <f aca="false">IFERROR(D18*E18,0)</f>
        <v>0</v>
      </c>
      <c r="G18" s="15"/>
      <c r="H18" s="15"/>
    </row>
    <row r="19" customFormat="false" ht="15" hidden="false" customHeight="false" outlineLevel="0" collapsed="false">
      <c r="A19" s="7" t="n">
        <v>7</v>
      </c>
      <c r="B19" s="15"/>
      <c r="C19" s="18" t="str">
        <f aca="false">IFERROR(VLOOKUP(B19,Products!A:B,2,FALSE()),"")</f>
        <v/>
      </c>
      <c r="D19" s="24"/>
      <c r="E19" s="23"/>
      <c r="F19" s="33" t="n">
        <f aca="false">IFERROR(D19*E19,0)</f>
        <v>0</v>
      </c>
      <c r="G19" s="15"/>
      <c r="H19" s="15"/>
    </row>
    <row r="20" customFormat="false" ht="15" hidden="false" customHeight="false" outlineLevel="0" collapsed="false">
      <c r="A20" s="7" t="n">
        <v>8</v>
      </c>
      <c r="B20" s="15"/>
      <c r="C20" s="18" t="str">
        <f aca="false">IFERROR(VLOOKUP(B20,Products!A:B,2,FALSE()),"")</f>
        <v/>
      </c>
      <c r="D20" s="24"/>
      <c r="E20" s="23"/>
      <c r="F20" s="33" t="n">
        <f aca="false">IFERROR(D20*E20,0)</f>
        <v>0</v>
      </c>
      <c r="G20" s="15"/>
      <c r="H20" s="15"/>
    </row>
    <row r="21" customFormat="false" ht="15" hidden="false" customHeight="false" outlineLevel="0" collapsed="false">
      <c r="A21" s="7" t="n">
        <v>9</v>
      </c>
      <c r="B21" s="15"/>
      <c r="C21" s="18" t="str">
        <f aca="false">IFERROR(VLOOKUP(B21,Products!A:B,2,FALSE()),"")</f>
        <v/>
      </c>
      <c r="D21" s="24"/>
      <c r="E21" s="23"/>
      <c r="F21" s="33" t="n">
        <f aca="false">IFERROR(D21*E21,0)</f>
        <v>0</v>
      </c>
      <c r="G21" s="15"/>
      <c r="H21" s="15"/>
    </row>
    <row r="22" customFormat="false" ht="15" hidden="false" customHeight="false" outlineLevel="0" collapsed="false">
      <c r="A22" s="7" t="n">
        <v>10</v>
      </c>
      <c r="B22" s="15"/>
      <c r="C22" s="18" t="str">
        <f aca="false">IFERROR(VLOOKUP(B22,Products!A:B,2,FALSE()),"")</f>
        <v/>
      </c>
      <c r="D22" s="24"/>
      <c r="E22" s="23"/>
      <c r="F22" s="33" t="n">
        <f aca="false">IFERROR(D22*E22,0)</f>
        <v>0</v>
      </c>
      <c r="G22" s="15"/>
      <c r="H22" s="15"/>
    </row>
    <row r="24" customFormat="false" ht="15" hidden="false" customHeight="false" outlineLevel="0" collapsed="false">
      <c r="A24" s="4" t="s">
        <v>442</v>
      </c>
      <c r="F24" s="56" t="n">
        <f aca="false">SUM(F13:F22)</f>
        <v>0</v>
      </c>
    </row>
    <row r="25" customFormat="false" ht="15" hidden="false" customHeight="false" outlineLevel="0" collapsed="false">
      <c r="A25" s="0" t="s">
        <v>443</v>
      </c>
      <c r="F25" s="57" t="n">
        <v>0</v>
      </c>
    </row>
    <row r="26" customFormat="false" ht="15" hidden="false" customHeight="false" outlineLevel="0" collapsed="false">
      <c r="A26" s="0" t="s">
        <v>444</v>
      </c>
      <c r="F26" s="57" t="n">
        <v>0</v>
      </c>
    </row>
    <row r="27" customFormat="false" ht="17.35" hidden="false" customHeight="false" outlineLevel="0" collapsed="false">
      <c r="A27" s="50" t="s">
        <v>445</v>
      </c>
      <c r="F27" s="58" t="n">
        <f aca="false">SUM(F24:F26)</f>
        <v>0</v>
      </c>
    </row>
    <row r="30" customFormat="false" ht="15" hidden="false" customHeight="false" outlineLevel="0" collapsed="false">
      <c r="A30" s="3" t="s">
        <v>446</v>
      </c>
    </row>
    <row r="31" customFormat="false" ht="15" hidden="false" customHeight="false" outlineLevel="0" collapsed="false">
      <c r="A31" s="13" t="s">
        <v>447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3" t="s">
        <v>448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3" t="s">
        <v>449</v>
      </c>
      <c r="B33" s="13"/>
      <c r="C33" s="13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3" t="s">
        <v>450</v>
      </c>
      <c r="B34" s="13"/>
      <c r="C34" s="13"/>
      <c r="D34" s="13"/>
      <c r="E34" s="13"/>
      <c r="F34" s="13"/>
      <c r="G34" s="13"/>
      <c r="H34" s="13"/>
    </row>
    <row r="35" customFormat="false" ht="15" hidden="false" customHeight="false" outlineLevel="0" collapsed="false">
      <c r="A35" s="13" t="s">
        <v>451</v>
      </c>
      <c r="B35" s="13"/>
      <c r="C35" s="13"/>
      <c r="D35" s="13"/>
      <c r="E35" s="13"/>
      <c r="F35" s="13"/>
      <c r="G35" s="13"/>
      <c r="H35" s="13"/>
    </row>
    <row r="36" customFormat="false" ht="15" hidden="false" customHeight="false" outlineLevel="0" collapsed="false">
      <c r="A36" s="13" t="s">
        <v>452</v>
      </c>
      <c r="B36" s="13"/>
      <c r="C36" s="13"/>
      <c r="D36" s="13"/>
      <c r="E36" s="13"/>
      <c r="F36" s="13"/>
      <c r="G36" s="13"/>
      <c r="H36" s="13"/>
    </row>
    <row r="40" customFormat="false" ht="15" hidden="false" customHeight="false" outlineLevel="0" collapsed="false">
      <c r="A40" s="3" t="s">
        <v>453</v>
      </c>
    </row>
    <row r="41" customFormat="false" ht="15" hidden="false" customHeight="false" outlineLevel="0" collapsed="false">
      <c r="A41" s="9" t="s">
        <v>454</v>
      </c>
      <c r="B41" s="9" t="s">
        <v>455</v>
      </c>
      <c r="C41" s="9" t="s">
        <v>186</v>
      </c>
      <c r="D41" s="9" t="s">
        <v>456</v>
      </c>
    </row>
    <row r="42" customFormat="false" ht="15" hidden="false" customHeight="false" outlineLevel="0" collapsed="false">
      <c r="A42" s="15" t="s">
        <v>432</v>
      </c>
      <c r="B42" s="15" t="s">
        <v>427</v>
      </c>
      <c r="C42" s="15" t="s">
        <v>457</v>
      </c>
      <c r="D42" s="15"/>
    </row>
  </sheetData>
  <mergeCells count="6">
    <mergeCell ref="A31:H31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2026-01-19T08:46:01Z</dcterms:created>
  <dc:creator>openpyxl</dc:creator>
  <dc:description/>
  <dc:language>en-US</dc:language>
  <cp:lastModifiedBy/>
  <dcterms:modified xsi:type="dcterms:W3CDTF">2026-01-19T08:46:12Z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