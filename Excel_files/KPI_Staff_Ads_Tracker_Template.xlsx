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Skills_List" sheetId="3" state="visible" r:id="rId3"/>
    <sheet xmlns:r="http://schemas.openxmlformats.org/officeDocument/2006/relationships" name="Skill_Assessments" sheetId="4" state="visible" r:id="rId4"/>
    <sheet xmlns:r="http://schemas.openxmlformats.org/officeDocument/2006/relationships" name="Ads_Mapping" sheetId="5" state="visible" r:id="rId5"/>
    <sheet xmlns:r="http://schemas.openxmlformats.org/officeDocument/2006/relationships" name="Ads_Raw" sheetId="6" state="visible" r:id="rId6"/>
    <sheet xmlns:r="http://schemas.openxmlformats.org/officeDocument/2006/relationships" name="Staff_Client_Targets" sheetId="7" state="visible" r:id="rId7"/>
    <sheet xmlns:r="http://schemas.openxmlformats.org/officeDocument/2006/relationships" name="Skill_Summary" sheetId="8" state="visible" r:id="rId8"/>
    <sheet xmlns:r="http://schemas.openxmlformats.org/officeDocument/2006/relationships" name="Performance_By_Client" sheetId="9" state="visible" r:id="rId9"/>
    <sheet xmlns:r="http://schemas.openxmlformats.org/officeDocument/2006/relationships" name="Staff_Scorecard" sheetId="10" state="visible" r:id="rId10"/>
    <sheet xmlns:r="http://schemas.openxmlformats.org/officeDocument/2006/relationships" name="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$#,##0.00"/>
    <numFmt numFmtId="167" formatCode="$0.00"/>
    <numFmt numFmtId="168" formatCode="0.0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</font>
    <font>
      <color rgb="000000FF"/>
    </font>
    <font>
      <b val="1"/>
      <color rgb="00FFFFFF"/>
    </font>
    <font>
      <color rgb="00008000"/>
    </font>
    <font>
      <b val="1"/>
      <color rgb="001F4E79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  <xf numFmtId="166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6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8" fontId="0" fillId="0" borderId="1" applyAlignment="1" pivotButton="0" quotePrefix="0" xfId="0">
      <alignment vertical="top" wrapText="1"/>
    </xf>
    <xf numFmtId="168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KPI Score by Staff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'Staff_Scorecard'!E1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'Staff_Scorecard'!$B$2:$B$101</f>
            </numRef>
          </cat>
          <val>
            <numRef>
              <f>'Staff_Scorecard'!$E$2:$E$101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Staff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(0–100)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Skill vs Performance</a:t>
            </a:r>
          </a:p>
        </rich>
      </tx>
    </title>
    <plotArea>
      <scatterChart>
        <ser>
          <idx val="0"/>
          <order val="0"/>
          <tx>
            <v>Staff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'Staff_Scorecard'!$C$2:$C$101</f>
            </numRef>
          </xVal>
          <yVal>
            <numRef>
              <f>'Staff_Scorecard'!$D$2:$D$101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 Index (0–100)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Performance Index (0–100)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Staff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'Staff_Scorecard'!F1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'Staff_Scorecard'!$B$2:$B$101</f>
            </numRef>
          </cat>
          <val>
            <numRef>
              <f>'Staff_Scorecard'!$F$2:$F$101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Staff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72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26</row>
      <rowOff>0</rowOff>
    </from>
    <ext cx="72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72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4" customWidth="1" min="3" max="3"/>
    <col width="18" customWidth="1" min="4" max="4"/>
  </cols>
  <sheetData>
    <row r="1">
      <c r="A1" s="1" t="inlineStr">
        <is>
          <t>KPI Tracker — Setup</t>
        </is>
      </c>
    </row>
    <row r="3">
      <c r="A3" s="2" t="inlineStr">
        <is>
          <t>Reporting Window</t>
        </is>
      </c>
    </row>
    <row r="4">
      <c r="A4" s="3" t="inlineStr">
        <is>
          <t>Start date</t>
        </is>
      </c>
      <c r="B4" s="4" t="n">
        <v>46023</v>
      </c>
    </row>
    <row r="5">
      <c r="A5" s="3" t="inlineStr">
        <is>
          <t>End date</t>
        </is>
      </c>
      <c r="B5" s="4" t="n">
        <v>46041</v>
      </c>
    </row>
    <row r="6">
      <c r="A6" s="3" t="n"/>
      <c r="B6" s="3" t="n"/>
    </row>
    <row r="7">
      <c r="A7" s="5" t="inlineStr">
        <is>
          <t>Weighting</t>
        </is>
      </c>
      <c r="B7" s="28" t="n"/>
      <c r="C7" s="28" t="n"/>
      <c r="D7" s="29" t="n"/>
    </row>
    <row r="8">
      <c r="A8" s="3" t="inlineStr">
        <is>
          <t>Skills weight (0–1)</t>
        </is>
      </c>
      <c r="B8" s="6" t="n">
        <v>0.4</v>
      </c>
    </row>
    <row r="9">
      <c r="A9" s="3" t="inlineStr">
        <is>
          <t>Performance weight (0–1)</t>
        </is>
      </c>
      <c r="B9" s="6" t="n">
        <v>0.6</v>
      </c>
    </row>
    <row r="10">
      <c r="A10" s="3" t="inlineStr">
        <is>
          <t>Weights check</t>
        </is>
      </c>
      <c r="B10" s="3">
        <f>IF(ABS(SUM(B8:B9)-1)&lt;0.0001,"OK","Fix weights (must sum to 1)")</f>
        <v/>
      </c>
    </row>
    <row r="11">
      <c r="A11" s="3" t="n"/>
      <c r="B11" s="3" t="n"/>
    </row>
    <row r="12">
      <c r="A12" s="3" t="inlineStr">
        <is>
          <t>Conversions metric name (optional)</t>
        </is>
      </c>
      <c r="B12" s="7" t="inlineStr">
        <is>
          <t>Leads / Purchases</t>
        </is>
      </c>
    </row>
    <row r="14">
      <c r="A14" s="2" t="inlineStr">
        <is>
          <t>How this workbook is meant to work</t>
        </is>
      </c>
    </row>
    <row r="15">
      <c r="A15" s="8" t="inlineStr">
        <is>
          <t>1) Maintain Staff roster and Skills list.
2) Record skill assessments over time (Skill_Assessments).
3) Sync/paste ad performance data into Ads_Raw (daily granularity recommended).
4) Maintain Ads_Mapping so each campaign maps to a Staff_ID (owner).
5) Add Staff-Client targets (Staff_Client_Targets).
Dashboards update automatically for the selected reporting window.</t>
        </is>
      </c>
    </row>
    <row r="16"/>
    <row r="17"/>
    <row r="18"/>
    <row r="19"/>
    <row r="20"/>
  </sheetData>
  <mergeCells count="5">
    <mergeCell ref="A1:D1"/>
    <mergeCell ref="A3:D3"/>
    <mergeCell ref="A15:D20"/>
    <mergeCell ref="A7:D7"/>
    <mergeCell ref="A14:D14"/>
  </mergeCells>
  <dataValidations count="1">
    <dataValidation sqref="B8 B9" showDropDown="0" showInputMessage="0" showErrorMessage="0" allowBlank="0" error="Enter a value between 0 and 1." prompt="0 to 1 (e.g., 0.4)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8" customWidth="1" min="5" max="5"/>
    <col width="12" customWidth="1" min="6" max="6"/>
    <col width="12" customWidth="1" min="7" max="7"/>
    <col width="30" customWidth="1" min="8" max="8"/>
  </cols>
  <sheetData>
    <row r="1" ht="24" customHeight="1">
      <c r="A1" s="9" t="inlineStr">
        <is>
          <t>Staff_ID</t>
        </is>
      </c>
      <c r="B1" s="9" t="inlineStr">
        <is>
          <t>Name</t>
        </is>
      </c>
      <c r="C1" s="9" t="inlineStr">
        <is>
          <t>Role</t>
        </is>
      </c>
      <c r="D1" s="9" t="inlineStr">
        <is>
          <t>Team/Pod</t>
        </is>
      </c>
      <c r="E1" s="9" t="inlineStr">
        <is>
          <t>Manager</t>
        </is>
      </c>
      <c r="F1" s="9" t="inlineStr">
        <is>
          <t>Start_Date</t>
        </is>
      </c>
      <c r="G1" s="9" t="inlineStr">
        <is>
          <t>Active (Y/N)</t>
        </is>
      </c>
      <c r="H1" s="9" t="inlineStr">
        <is>
          <t>Notes</t>
        </is>
      </c>
    </row>
    <row r="2">
      <c r="A2" s="7" t="inlineStr">
        <is>
          <t>S001</t>
        </is>
      </c>
      <c r="B2" s="7" t="inlineStr">
        <is>
          <t>Alex Chen</t>
        </is>
      </c>
      <c r="C2" s="7" t="inlineStr">
        <is>
          <t>Media Buyer</t>
        </is>
      </c>
      <c r="D2" s="7" t="inlineStr">
        <is>
          <t>Pod A</t>
        </is>
      </c>
      <c r="E2" s="7" t="inlineStr">
        <is>
          <t>Biswajit</t>
        </is>
      </c>
      <c r="F2" s="4" t="n">
        <v>45839</v>
      </c>
      <c r="G2" s="7" t="inlineStr">
        <is>
          <t>Y</t>
        </is>
      </c>
      <c r="H2" s="7" t="inlineStr"/>
    </row>
    <row r="3">
      <c r="A3" s="7" t="inlineStr">
        <is>
          <t>S002</t>
        </is>
      </c>
      <c r="B3" s="7" t="inlineStr">
        <is>
          <t>Priya Nair</t>
        </is>
      </c>
      <c r="C3" s="7" t="inlineStr">
        <is>
          <t>Creative Strategist</t>
        </is>
      </c>
      <c r="D3" s="7" t="inlineStr">
        <is>
          <t>Pod A</t>
        </is>
      </c>
      <c r="E3" s="7" t="inlineStr">
        <is>
          <t>Biswajit</t>
        </is>
      </c>
      <c r="F3" s="4" t="n">
        <v>45915</v>
      </c>
      <c r="G3" s="7" t="inlineStr">
        <is>
          <t>Y</t>
        </is>
      </c>
      <c r="H3" s="7" t="inlineStr"/>
    </row>
    <row r="4">
      <c r="A4" s="3" t="n"/>
      <c r="B4" s="3" t="n"/>
      <c r="C4" s="3" t="n"/>
      <c r="D4" s="3" t="n"/>
      <c r="E4" s="3" t="n"/>
      <c r="F4" s="10" t="n"/>
      <c r="G4" s="3" t="n"/>
      <c r="H4" s="3" t="n"/>
    </row>
    <row r="5">
      <c r="A5" s="3" t="n"/>
      <c r="B5" s="3" t="n"/>
      <c r="C5" s="3" t="n"/>
      <c r="D5" s="3" t="n"/>
      <c r="E5" s="3" t="n"/>
      <c r="F5" s="10" t="n"/>
      <c r="G5" s="3" t="n"/>
      <c r="H5" s="3" t="n"/>
    </row>
    <row r="6">
      <c r="A6" s="3" t="n"/>
      <c r="B6" s="3" t="n"/>
      <c r="C6" s="3" t="n"/>
      <c r="D6" s="3" t="n"/>
      <c r="E6" s="3" t="n"/>
      <c r="F6" s="10" t="n"/>
      <c r="G6" s="3" t="n"/>
      <c r="H6" s="3" t="n"/>
    </row>
    <row r="7">
      <c r="A7" s="3" t="n"/>
      <c r="B7" s="3" t="n"/>
      <c r="C7" s="3" t="n"/>
      <c r="D7" s="3" t="n"/>
      <c r="E7" s="3" t="n"/>
      <c r="F7" s="10" t="n"/>
      <c r="G7" s="3" t="n"/>
      <c r="H7" s="3" t="n"/>
    </row>
    <row r="8">
      <c r="A8" s="3" t="n"/>
      <c r="B8" s="3" t="n"/>
      <c r="C8" s="3" t="n"/>
      <c r="D8" s="3" t="n"/>
      <c r="E8" s="3" t="n"/>
      <c r="F8" s="10" t="n"/>
      <c r="G8" s="3" t="n"/>
      <c r="H8" s="3" t="n"/>
    </row>
    <row r="9">
      <c r="A9" s="3" t="n"/>
      <c r="B9" s="3" t="n"/>
      <c r="C9" s="3" t="n"/>
      <c r="D9" s="3" t="n"/>
      <c r="E9" s="3" t="n"/>
      <c r="F9" s="10" t="n"/>
      <c r="G9" s="3" t="n"/>
      <c r="H9" s="3" t="n"/>
    </row>
    <row r="10">
      <c r="A10" s="3" t="n"/>
      <c r="B10" s="3" t="n"/>
      <c r="C10" s="3" t="n"/>
      <c r="D10" s="3" t="n"/>
      <c r="E10" s="3" t="n"/>
      <c r="F10" s="10" t="n"/>
      <c r="G10" s="3" t="n"/>
      <c r="H10" s="3" t="n"/>
    </row>
    <row r="11">
      <c r="A11" s="3" t="n"/>
      <c r="B11" s="3" t="n"/>
      <c r="C11" s="3" t="n"/>
      <c r="D11" s="3" t="n"/>
      <c r="E11" s="3" t="n"/>
      <c r="F11" s="10" t="n"/>
      <c r="G11" s="3" t="n"/>
      <c r="H11" s="3" t="n"/>
    </row>
    <row r="12">
      <c r="A12" s="3" t="n"/>
      <c r="B12" s="3" t="n"/>
      <c r="C12" s="3" t="n"/>
      <c r="D12" s="3" t="n"/>
      <c r="E12" s="3" t="n"/>
      <c r="F12" s="10" t="n"/>
      <c r="G12" s="3" t="n"/>
      <c r="H12" s="3" t="n"/>
    </row>
    <row r="13">
      <c r="A13" s="3" t="n"/>
      <c r="B13" s="3" t="n"/>
      <c r="C13" s="3" t="n"/>
      <c r="D13" s="3" t="n"/>
      <c r="E13" s="3" t="n"/>
      <c r="F13" s="10" t="n"/>
      <c r="G13" s="3" t="n"/>
      <c r="H13" s="3" t="n"/>
    </row>
    <row r="14">
      <c r="A14" s="3" t="n"/>
      <c r="B14" s="3" t="n"/>
      <c r="C14" s="3" t="n"/>
      <c r="D14" s="3" t="n"/>
      <c r="E14" s="3" t="n"/>
      <c r="F14" s="10" t="n"/>
      <c r="G14" s="3" t="n"/>
      <c r="H14" s="3" t="n"/>
    </row>
    <row r="15">
      <c r="A15" s="3" t="n"/>
      <c r="B15" s="3" t="n"/>
      <c r="C15" s="3" t="n"/>
      <c r="D15" s="3" t="n"/>
      <c r="E15" s="3" t="n"/>
      <c r="F15" s="10" t="n"/>
      <c r="G15" s="3" t="n"/>
      <c r="H15" s="3" t="n"/>
    </row>
    <row r="16">
      <c r="A16" s="3" t="n"/>
      <c r="B16" s="3" t="n"/>
      <c r="C16" s="3" t="n"/>
      <c r="D16" s="3" t="n"/>
      <c r="E16" s="3" t="n"/>
      <c r="F16" s="10" t="n"/>
      <c r="G16" s="3" t="n"/>
      <c r="H16" s="3" t="n"/>
    </row>
    <row r="17">
      <c r="A17" s="3" t="n"/>
      <c r="B17" s="3" t="n"/>
      <c r="C17" s="3" t="n"/>
      <c r="D17" s="3" t="n"/>
      <c r="E17" s="3" t="n"/>
      <c r="F17" s="10" t="n"/>
      <c r="G17" s="3" t="n"/>
      <c r="H17" s="3" t="n"/>
    </row>
    <row r="18">
      <c r="A18" s="3" t="n"/>
      <c r="B18" s="3" t="n"/>
      <c r="C18" s="3" t="n"/>
      <c r="D18" s="3" t="n"/>
      <c r="E18" s="3" t="n"/>
      <c r="F18" s="10" t="n"/>
      <c r="G18" s="3" t="n"/>
      <c r="H18" s="3" t="n"/>
    </row>
    <row r="19">
      <c r="A19" s="3" t="n"/>
      <c r="B19" s="3" t="n"/>
      <c r="C19" s="3" t="n"/>
      <c r="D19" s="3" t="n"/>
      <c r="E19" s="3" t="n"/>
      <c r="F19" s="10" t="n"/>
      <c r="G19" s="3" t="n"/>
      <c r="H19" s="3" t="n"/>
    </row>
    <row r="20">
      <c r="A20" s="3" t="n"/>
      <c r="B20" s="3" t="n"/>
      <c r="C20" s="3" t="n"/>
      <c r="D20" s="3" t="n"/>
      <c r="E20" s="3" t="n"/>
      <c r="F20" s="10" t="n"/>
      <c r="G20" s="3" t="n"/>
      <c r="H20" s="3" t="n"/>
    </row>
    <row r="21">
      <c r="F21" s="11" t="n"/>
    </row>
    <row r="22">
      <c r="F22" s="11" t="n"/>
    </row>
    <row r="23">
      <c r="F23" s="11" t="n"/>
    </row>
    <row r="24">
      <c r="F24" s="11" t="n"/>
    </row>
    <row r="25">
      <c r="F25" s="11" t="n"/>
    </row>
    <row r="26">
      <c r="F26" s="11" t="n"/>
    </row>
    <row r="27">
      <c r="F27" s="11" t="n"/>
    </row>
    <row r="28">
      <c r="F28" s="11" t="n"/>
    </row>
    <row r="29">
      <c r="F29" s="11" t="n"/>
    </row>
    <row r="30">
      <c r="F30" s="11" t="n"/>
    </row>
    <row r="31">
      <c r="F31" s="11" t="n"/>
    </row>
    <row r="32">
      <c r="F32" s="11" t="n"/>
    </row>
    <row r="33">
      <c r="F33" s="11" t="n"/>
    </row>
    <row r="34">
      <c r="F34" s="11" t="n"/>
    </row>
    <row r="35">
      <c r="F35" s="11" t="n"/>
    </row>
    <row r="36">
      <c r="F36" s="11" t="n"/>
    </row>
    <row r="37">
      <c r="F37" s="11" t="n"/>
    </row>
    <row r="38">
      <c r="F38" s="11" t="n"/>
    </row>
    <row r="39">
      <c r="F39" s="11" t="n"/>
    </row>
    <row r="40">
      <c r="F40" s="11" t="n"/>
    </row>
    <row r="41">
      <c r="F41" s="11" t="n"/>
    </row>
    <row r="42">
      <c r="F42" s="11" t="n"/>
    </row>
    <row r="43">
      <c r="F43" s="11" t="n"/>
    </row>
    <row r="44">
      <c r="F44" s="11" t="n"/>
    </row>
    <row r="45">
      <c r="F45" s="11" t="n"/>
    </row>
    <row r="46">
      <c r="F46" s="11" t="n"/>
    </row>
    <row r="47">
      <c r="F47" s="11" t="n"/>
    </row>
    <row r="48">
      <c r="F48" s="11" t="n"/>
    </row>
    <row r="49">
      <c r="F49" s="11" t="n"/>
    </row>
    <row r="50">
      <c r="F50" s="11" t="n"/>
    </row>
    <row r="51">
      <c r="F51" s="11" t="n"/>
    </row>
    <row r="52">
      <c r="F52" s="11" t="n"/>
    </row>
    <row r="53">
      <c r="F53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0" customWidth="1" min="4" max="4"/>
    <col width="22" customWidth="1" min="5" max="5"/>
    <col width="48" customWidth="1" min="6" max="6"/>
  </cols>
  <sheetData>
    <row r="1" ht="24" customHeight="1">
      <c r="A1" s="9" t="inlineStr">
        <is>
          <t>Skill_ID</t>
        </is>
      </c>
      <c r="B1" s="9" t="inlineStr">
        <is>
          <t>Skill</t>
        </is>
      </c>
      <c r="C1" s="9" t="inlineStr">
        <is>
          <t>Category</t>
        </is>
      </c>
      <c r="D1" s="9" t="inlineStr">
        <is>
          <t>Weight</t>
        </is>
      </c>
      <c r="E1" s="9" t="inlineStr">
        <is>
          <t>Default_Target_Level (1–5)</t>
        </is>
      </c>
      <c r="F1" s="9" t="inlineStr">
        <is>
          <t>Definition / Evidence</t>
        </is>
      </c>
    </row>
    <row r="2">
      <c r="A2" s="7" t="inlineStr">
        <is>
          <t>SK01</t>
        </is>
      </c>
      <c r="B2" s="7" t="inlineStr">
        <is>
          <t>Account structure &amp; naming</t>
        </is>
      </c>
      <c r="C2" s="7" t="inlineStr">
        <is>
          <t>Media Buying</t>
        </is>
      </c>
      <c r="D2" s="7" t="n">
        <v>0.12</v>
      </c>
      <c r="E2" s="7" t="n">
        <v>4</v>
      </c>
      <c r="F2" s="7" t="inlineStr">
        <is>
          <t>Consistent naming, clean hierarchy, easy reporting.</t>
        </is>
      </c>
    </row>
    <row r="3">
      <c r="A3" s="7" t="inlineStr">
        <is>
          <t>SK02</t>
        </is>
      </c>
      <c r="B3" s="7" t="inlineStr">
        <is>
          <t>Creative testing plan</t>
        </is>
      </c>
      <c r="C3" s="7" t="inlineStr">
        <is>
          <t>Strategy</t>
        </is>
      </c>
      <c r="D3" s="7" t="n">
        <v>0.12</v>
      </c>
      <c r="E3" s="7" t="n">
        <v>4</v>
      </c>
      <c r="F3" s="7" t="inlineStr">
        <is>
          <t>Hypothesis-driven tests; clear variables and success criteria.</t>
        </is>
      </c>
    </row>
    <row r="4">
      <c r="A4" s="7" t="inlineStr">
        <is>
          <t>SK03</t>
        </is>
      </c>
      <c r="B4" s="7" t="inlineStr">
        <is>
          <t>Pixel/CAPI troubleshooting</t>
        </is>
      </c>
      <c r="C4" s="7" t="inlineStr">
        <is>
          <t>Technical</t>
        </is>
      </c>
      <c r="D4" s="7" t="n">
        <v>0.1</v>
      </c>
      <c r="E4" s="7" t="n">
        <v>3</v>
      </c>
      <c r="F4" s="7" t="inlineStr">
        <is>
          <t>Diagnose tracking gaps; coordinate fixes; validate events.</t>
        </is>
      </c>
    </row>
    <row r="5">
      <c r="A5" s="7" t="inlineStr">
        <is>
          <t>SK04</t>
        </is>
      </c>
      <c r="B5" s="7" t="inlineStr">
        <is>
          <t>Budget &amp; bid management</t>
        </is>
      </c>
      <c r="C5" s="7" t="inlineStr">
        <is>
          <t>Media Buying</t>
        </is>
      </c>
      <c r="D5" s="7" t="n">
        <v>0.14</v>
      </c>
      <c r="E5" s="7" t="n">
        <v>4</v>
      </c>
      <c r="F5" s="7" t="inlineStr">
        <is>
          <t>Controls pacing; avoids learning resets; balances volume/efficiency.</t>
        </is>
      </c>
    </row>
    <row r="6">
      <c r="A6" s="7" t="inlineStr">
        <is>
          <t>SK05</t>
        </is>
      </c>
      <c r="B6" s="7" t="inlineStr">
        <is>
          <t>Reporting &amp; insights</t>
        </is>
      </c>
      <c r="C6" s="7" t="inlineStr">
        <is>
          <t>Analytics</t>
        </is>
      </c>
      <c r="D6" s="7" t="n">
        <v>0.16</v>
      </c>
      <c r="E6" s="7" t="n">
        <v>4</v>
      </c>
      <c r="F6" s="7" t="inlineStr">
        <is>
          <t>Explains results, identifies drivers, proposes next actions.</t>
        </is>
      </c>
    </row>
    <row r="7">
      <c r="A7" s="7" t="inlineStr">
        <is>
          <t>SK06</t>
        </is>
      </c>
      <c r="B7" s="7" t="inlineStr">
        <is>
          <t>Client communication</t>
        </is>
      </c>
      <c r="C7" s="7" t="inlineStr">
        <is>
          <t>Client</t>
        </is>
      </c>
      <c r="D7" s="7" t="n">
        <v>0.12</v>
      </c>
      <c r="E7" s="7" t="n">
        <v>4</v>
      </c>
      <c r="F7" s="7" t="inlineStr">
        <is>
          <t>Clear updates, expectation setting, handles objections.</t>
        </is>
      </c>
    </row>
    <row r="8">
      <c r="A8" s="7" t="inlineStr">
        <is>
          <t>SK07</t>
        </is>
      </c>
      <c r="B8" s="7" t="inlineStr">
        <is>
          <t>Creative feedback quality</t>
        </is>
      </c>
      <c r="C8" s="7" t="inlineStr">
        <is>
          <t>Creative</t>
        </is>
      </c>
      <c r="D8" s="7" t="n">
        <v>0.12</v>
      </c>
      <c r="E8" s="7" t="n">
        <v>4</v>
      </c>
      <c r="F8" s="7" t="inlineStr">
        <is>
          <t>Actionable feedback tied to data and objectives.</t>
        </is>
      </c>
    </row>
    <row r="9">
      <c r="A9" s="7" t="inlineStr">
        <is>
          <t>SK08</t>
        </is>
      </c>
      <c r="B9" s="7" t="inlineStr">
        <is>
          <t>Process &amp; documentation</t>
        </is>
      </c>
      <c r="C9" s="7" t="inlineStr">
        <is>
          <t>Ops</t>
        </is>
      </c>
      <c r="D9" s="7" t="n">
        <v>0.12</v>
      </c>
      <c r="E9" s="7" t="n">
        <v>3</v>
      </c>
      <c r="F9" s="7" t="inlineStr">
        <is>
          <t>Maintains SOPs, checklists, handoffs; reduces errors.</t>
        </is>
      </c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12" t="n"/>
      <c r="B21" s="12" t="n"/>
      <c r="C21" s="12" t="n"/>
      <c r="D21" s="12" t="n"/>
      <c r="E21" s="12" t="n"/>
      <c r="F21" s="12" t="n"/>
    </row>
    <row r="22">
      <c r="A22" s="12" t="n"/>
      <c r="B22" s="12" t="n"/>
      <c r="C22" s="12" t="n"/>
      <c r="D22" s="12" t="n"/>
      <c r="E22" s="12" t="n"/>
      <c r="F22" s="12" t="n"/>
    </row>
    <row r="23">
      <c r="A23" s="12" t="n"/>
      <c r="B23" s="12" t="n"/>
      <c r="C23" s="12" t="n"/>
      <c r="D23" s="12" t="n"/>
      <c r="E23" s="12" t="n"/>
      <c r="F23" s="12" t="n"/>
    </row>
    <row r="24">
      <c r="A24" s="12" t="n"/>
      <c r="B24" s="12" t="n"/>
      <c r="C24" s="12" t="n"/>
      <c r="D24" s="12" t="n"/>
      <c r="E24" s="12" t="n"/>
      <c r="F24" s="12" t="n"/>
    </row>
    <row r="25">
      <c r="A25" s="12" t="n"/>
      <c r="B25" s="12" t="n"/>
      <c r="C25" s="12" t="n"/>
      <c r="D25" s="12" t="n"/>
      <c r="E25" s="12" t="n"/>
      <c r="F25" s="12" t="n"/>
    </row>
    <row r="26">
      <c r="A26" s="12" t="n"/>
      <c r="B26" s="12" t="n"/>
      <c r="C26" s="12" t="n"/>
      <c r="D26" s="12" t="n"/>
      <c r="E26" s="12" t="n"/>
      <c r="F26" s="12" t="n"/>
    </row>
    <row r="27">
      <c r="A27" s="12" t="n"/>
      <c r="B27" s="12" t="n"/>
      <c r="C27" s="12" t="n"/>
      <c r="D27" s="12" t="n"/>
      <c r="E27" s="12" t="n"/>
      <c r="F27" s="12" t="n"/>
    </row>
    <row r="28">
      <c r="A28" s="12" t="n"/>
      <c r="B28" s="12" t="n"/>
      <c r="C28" s="12" t="n"/>
      <c r="D28" s="12" t="n"/>
      <c r="E28" s="12" t="n"/>
      <c r="F28" s="12" t="n"/>
    </row>
    <row r="29">
      <c r="A29" s="12" t="n"/>
      <c r="B29" s="12" t="n"/>
      <c r="C29" s="12" t="n"/>
      <c r="D29" s="12" t="n"/>
      <c r="E29" s="12" t="n"/>
      <c r="F29" s="12" t="n"/>
    </row>
    <row r="30">
      <c r="A30" s="12" t="n"/>
      <c r="B30" s="12" t="n"/>
      <c r="C30" s="12" t="n"/>
      <c r="D30" s="12" t="n"/>
      <c r="E30" s="12" t="n"/>
      <c r="F30" s="12" t="n"/>
    </row>
    <row r="31">
      <c r="A31" s="12" t="n"/>
      <c r="B31" s="12" t="n"/>
      <c r="C31" s="12" t="n"/>
      <c r="D31" s="12" t="n"/>
      <c r="E31" s="12" t="n"/>
      <c r="F31" s="12" t="n"/>
    </row>
    <row r="32">
      <c r="A32" s="12" t="n"/>
      <c r="B32" s="12" t="n"/>
      <c r="C32" s="12" t="n"/>
      <c r="D32" s="12" t="n"/>
      <c r="E32" s="12" t="n"/>
      <c r="F32" s="12" t="n"/>
    </row>
    <row r="33">
      <c r="A33" s="12" t="n"/>
      <c r="B33" s="12" t="n"/>
      <c r="C33" s="12" t="n"/>
      <c r="D33" s="12" t="n"/>
      <c r="E33" s="12" t="n"/>
      <c r="F33" s="12" t="n"/>
    </row>
    <row r="34">
      <c r="A34" s="12" t="n"/>
      <c r="B34" s="12" t="n"/>
      <c r="C34" s="12" t="n"/>
      <c r="D34" s="12" t="n"/>
      <c r="E34" s="12" t="n"/>
      <c r="F34" s="12" t="n"/>
    </row>
    <row r="35">
      <c r="A35" s="12" t="n"/>
      <c r="B35" s="12" t="n"/>
      <c r="C35" s="12" t="n"/>
      <c r="D35" s="12" t="n"/>
      <c r="E35" s="12" t="n"/>
      <c r="F35" s="12" t="n"/>
    </row>
    <row r="36">
      <c r="A36" s="12" t="n"/>
      <c r="B36" s="12" t="n"/>
      <c r="C36" s="12" t="n"/>
      <c r="D36" s="12" t="n"/>
      <c r="E36" s="12" t="n"/>
      <c r="F36" s="12" t="n"/>
    </row>
    <row r="37">
      <c r="A37" s="12" t="n"/>
      <c r="B37" s="12" t="n"/>
      <c r="C37" s="12" t="n"/>
      <c r="D37" s="12" t="n"/>
      <c r="E37" s="12" t="n"/>
      <c r="F37" s="12" t="n"/>
    </row>
    <row r="38">
      <c r="A38" s="12" t="n"/>
      <c r="B38" s="12" t="n"/>
      <c r="C38" s="12" t="n"/>
      <c r="D38" s="12" t="n"/>
      <c r="E38" s="12" t="n"/>
      <c r="F38" s="12" t="n"/>
    </row>
    <row r="39">
      <c r="A39" s="12" t="n"/>
      <c r="B39" s="12" t="n"/>
      <c r="C39" s="12" t="n"/>
      <c r="D39" s="12" t="n"/>
      <c r="E39" s="12" t="n"/>
      <c r="F39" s="12" t="n"/>
    </row>
    <row r="40">
      <c r="A40" s="12" t="n"/>
      <c r="B40" s="12" t="n"/>
      <c r="C40" s="12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</row>
    <row r="51">
      <c r="A51" s="12" t="n"/>
      <c r="B51" s="12" t="n"/>
      <c r="C51" s="12" t="n"/>
      <c r="D51" s="12" t="n"/>
      <c r="E51" s="12" t="n"/>
      <c r="F51" s="12" t="n"/>
    </row>
    <row r="52">
      <c r="A52" s="12" t="n"/>
      <c r="B52" s="12" t="n"/>
      <c r="C52" s="12" t="n"/>
      <c r="D52" s="12" t="n"/>
      <c r="E52" s="12" t="n"/>
      <c r="F52" s="12" t="n"/>
    </row>
    <row r="53">
      <c r="A53" s="12" t="n"/>
      <c r="B53" s="12" t="n"/>
      <c r="C53" s="12" t="n"/>
      <c r="D53" s="12" t="n"/>
      <c r="E53" s="12" t="n"/>
      <c r="F53" s="12" t="n"/>
    </row>
    <row r="54">
      <c r="A54" s="12" t="n"/>
      <c r="B54" s="12" t="n"/>
      <c r="C54" s="12" t="n"/>
      <c r="D54" s="12" t="n"/>
      <c r="E54" s="12" t="n"/>
      <c r="F54" s="12" t="n"/>
    </row>
    <row r="55">
      <c r="A55" s="12" t="n"/>
      <c r="B55" s="12" t="n"/>
      <c r="C55" s="12" t="n"/>
      <c r="D55" s="12" t="n"/>
      <c r="E55" s="12" t="n"/>
      <c r="F55" s="12" t="n"/>
    </row>
    <row r="56">
      <c r="A56" s="12" t="n"/>
      <c r="B56" s="12" t="n"/>
      <c r="C56" s="12" t="n"/>
      <c r="D56" s="12" t="n"/>
      <c r="E56" s="12" t="n"/>
      <c r="F56" s="12" t="n"/>
    </row>
    <row r="57">
      <c r="A57" s="12" t="n"/>
      <c r="B57" s="12" t="n"/>
      <c r="C57" s="12" t="n"/>
      <c r="D57" s="12" t="n"/>
      <c r="E57" s="12" t="n"/>
      <c r="F57" s="12" t="n"/>
    </row>
    <row r="58">
      <c r="A58" s="12" t="n"/>
      <c r="B58" s="12" t="n"/>
      <c r="C58" s="12" t="n"/>
      <c r="D58" s="12" t="n"/>
      <c r="E58" s="12" t="n"/>
      <c r="F58" s="12" t="n"/>
    </row>
    <row r="59">
      <c r="A59" s="12" t="n"/>
      <c r="B59" s="12" t="n"/>
      <c r="C59" s="12" t="n"/>
      <c r="D59" s="12" t="n"/>
      <c r="E59" s="12" t="n"/>
      <c r="F59" s="12" t="n"/>
    </row>
  </sheetData>
  <dataValidations count="2">
    <dataValidation sqref="D2:D200" showDropDown="0" showInputMessage="0" showErrorMessage="0" allowBlank="0" error="Weight must be between 0 and 1." type="decimal" operator="between">
      <formula1>0</formula1>
      <formula2>1</formula2>
    </dataValidation>
    <dataValidation sqref="E2:E200" showDropDown="0" showInputMessage="0" showErrorMessage="0" allowBlank="0" error="Target level must be 1–5.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44" customWidth="1" min="6" max="6"/>
  </cols>
  <sheetData>
    <row r="1" ht="24" customHeight="1">
      <c r="A1" s="9" t="inlineStr">
        <is>
          <t>Date</t>
        </is>
      </c>
      <c r="B1" s="9" t="inlineStr">
        <is>
          <t>Staff_ID</t>
        </is>
      </c>
      <c r="C1" s="9" t="inlineStr">
        <is>
          <t>Skill_ID</t>
        </is>
      </c>
      <c r="D1" s="9" t="inlineStr">
        <is>
          <t>Score (1–5)</t>
        </is>
      </c>
      <c r="E1" s="9" t="inlineStr">
        <is>
          <t>Assessed_By</t>
        </is>
      </c>
      <c r="F1" s="9" t="inlineStr">
        <is>
          <t>Evidence / Notes</t>
        </is>
      </c>
    </row>
    <row r="2">
      <c r="A2" s="10" t="n">
        <v>46027</v>
      </c>
      <c r="B2" s="3" t="inlineStr">
        <is>
          <t>S001</t>
        </is>
      </c>
      <c r="C2" s="3" t="inlineStr">
        <is>
          <t>SK04</t>
        </is>
      </c>
      <c r="D2" s="3" t="n">
        <v>3</v>
      </c>
      <c r="E2" s="3" t="inlineStr">
        <is>
          <t>Manager</t>
        </is>
      </c>
      <c r="F2" s="3" t="inlineStr">
        <is>
          <t>Pacing improved; still volatile week to week.</t>
        </is>
      </c>
    </row>
    <row r="3">
      <c r="A3" s="10" t="n">
        <v>46031</v>
      </c>
      <c r="B3" s="3" t="inlineStr">
        <is>
          <t>S002</t>
        </is>
      </c>
      <c r="C3" s="3" t="inlineStr">
        <is>
          <t>SK02</t>
        </is>
      </c>
      <c r="D3" s="3" t="n">
        <v>4</v>
      </c>
      <c r="E3" s="3" t="inlineStr">
        <is>
          <t>Manager</t>
        </is>
      </c>
      <c r="F3" s="3" t="inlineStr">
        <is>
          <t>Solid plan; next add better segment hypotheses.</t>
        </is>
      </c>
    </row>
    <row r="4">
      <c r="A4" s="10" t="n">
        <v>46034</v>
      </c>
      <c r="B4" s="3" t="inlineStr">
        <is>
          <t>S001</t>
        </is>
      </c>
      <c r="C4" s="3" t="inlineStr">
        <is>
          <t>SK05</t>
        </is>
      </c>
      <c r="D4" s="3" t="n">
        <v>3</v>
      </c>
      <c r="E4" s="3" t="inlineStr">
        <is>
          <t>Manager</t>
        </is>
      </c>
      <c r="F4" s="3" t="inlineStr">
        <is>
          <t>Insights ok; needs clearer next-actions.</t>
        </is>
      </c>
    </row>
    <row r="5">
      <c r="A5" s="10" t="n"/>
      <c r="B5" s="3" t="n"/>
      <c r="C5" s="3" t="n"/>
      <c r="D5" s="3" t="n"/>
      <c r="E5" s="3" t="n"/>
      <c r="F5" s="3" t="n"/>
    </row>
    <row r="6">
      <c r="A6" s="10" t="n"/>
      <c r="B6" s="3" t="n"/>
      <c r="C6" s="3" t="n"/>
      <c r="D6" s="3" t="n"/>
      <c r="E6" s="3" t="n"/>
      <c r="F6" s="3" t="n"/>
    </row>
    <row r="7">
      <c r="A7" s="10" t="n"/>
      <c r="B7" s="3" t="n"/>
      <c r="C7" s="3" t="n"/>
      <c r="D7" s="3" t="n"/>
      <c r="E7" s="3" t="n"/>
      <c r="F7" s="3" t="n"/>
    </row>
    <row r="8">
      <c r="A8" s="10" t="n"/>
      <c r="B8" s="3" t="n"/>
      <c r="C8" s="3" t="n"/>
      <c r="D8" s="3" t="n"/>
      <c r="E8" s="3" t="n"/>
      <c r="F8" s="3" t="n"/>
    </row>
    <row r="9">
      <c r="A9" s="10" t="n"/>
      <c r="B9" s="3" t="n"/>
      <c r="C9" s="3" t="n"/>
      <c r="D9" s="3" t="n"/>
      <c r="E9" s="3" t="n"/>
      <c r="F9" s="3" t="n"/>
    </row>
    <row r="10">
      <c r="A10" s="10" t="n"/>
      <c r="B10" s="3" t="n"/>
      <c r="C10" s="3" t="n"/>
      <c r="D10" s="3" t="n"/>
      <c r="E10" s="3" t="n"/>
      <c r="F10" s="3" t="n"/>
    </row>
    <row r="11">
      <c r="A11" s="10" t="n"/>
      <c r="B11" s="3" t="n"/>
      <c r="C11" s="3" t="n"/>
      <c r="D11" s="3" t="n"/>
      <c r="E11" s="3" t="n"/>
      <c r="F11" s="3" t="n"/>
    </row>
    <row r="12">
      <c r="A12" s="10" t="n"/>
      <c r="B12" s="3" t="n"/>
      <c r="C12" s="3" t="n"/>
      <c r="D12" s="3" t="n"/>
      <c r="E12" s="3" t="n"/>
      <c r="F12" s="3" t="n"/>
    </row>
    <row r="13">
      <c r="A13" s="10" t="n"/>
      <c r="B13" s="3" t="n"/>
      <c r="C13" s="3" t="n"/>
      <c r="D13" s="3" t="n"/>
      <c r="E13" s="3" t="n"/>
      <c r="F13" s="3" t="n"/>
    </row>
    <row r="14">
      <c r="A14" s="10" t="n"/>
      <c r="B14" s="3" t="n"/>
      <c r="C14" s="3" t="n"/>
      <c r="D14" s="3" t="n"/>
      <c r="E14" s="3" t="n"/>
      <c r="F14" s="3" t="n"/>
    </row>
    <row r="15">
      <c r="A15" s="10" t="n"/>
      <c r="B15" s="3" t="n"/>
      <c r="C15" s="3" t="n"/>
      <c r="D15" s="3" t="n"/>
      <c r="E15" s="3" t="n"/>
      <c r="F15" s="3" t="n"/>
    </row>
    <row r="16">
      <c r="A16" s="10" t="n"/>
      <c r="B16" s="3" t="n"/>
      <c r="C16" s="3" t="n"/>
      <c r="D16" s="3" t="n"/>
      <c r="E16" s="3" t="n"/>
      <c r="F16" s="3" t="n"/>
    </row>
    <row r="17">
      <c r="A17" s="10" t="n"/>
      <c r="B17" s="3" t="n"/>
      <c r="C17" s="3" t="n"/>
      <c r="D17" s="3" t="n"/>
      <c r="E17" s="3" t="n"/>
      <c r="F17" s="3" t="n"/>
    </row>
    <row r="18">
      <c r="A18" s="10" t="n"/>
      <c r="B18" s="3" t="n"/>
      <c r="C18" s="3" t="n"/>
      <c r="D18" s="3" t="n"/>
      <c r="E18" s="3" t="n"/>
      <c r="F18" s="3" t="n"/>
    </row>
    <row r="19">
      <c r="A19" s="10" t="n"/>
      <c r="B19" s="3" t="n"/>
      <c r="C19" s="3" t="n"/>
      <c r="D19" s="3" t="n"/>
      <c r="E19" s="3" t="n"/>
      <c r="F19" s="3" t="n"/>
    </row>
    <row r="20">
      <c r="A20" s="10" t="n"/>
      <c r="B20" s="3" t="n"/>
      <c r="C20" s="3" t="n"/>
      <c r="D20" s="3" t="n"/>
      <c r="E20" s="3" t="n"/>
      <c r="F20" s="3" t="n"/>
    </row>
    <row r="21">
      <c r="A21" s="11" t="n"/>
    </row>
    <row r="22">
      <c r="A22" s="11" t="n"/>
    </row>
    <row r="23">
      <c r="A23" s="11" t="n"/>
    </row>
    <row r="24">
      <c r="A24" s="11" t="n"/>
    </row>
    <row r="25">
      <c r="A25" s="11" t="n"/>
    </row>
    <row r="26">
      <c r="A26" s="11" t="n"/>
    </row>
    <row r="27">
      <c r="A27" s="11" t="n"/>
    </row>
    <row r="28">
      <c r="A28" s="11" t="n"/>
    </row>
    <row r="29">
      <c r="A29" s="11" t="n"/>
    </row>
    <row r="30">
      <c r="A30" s="11" t="n"/>
    </row>
    <row r="31">
      <c r="A31" s="11" t="n"/>
    </row>
    <row r="32">
      <c r="A32" s="11" t="n"/>
    </row>
    <row r="33">
      <c r="A33" s="11" t="n"/>
    </row>
    <row r="34">
      <c r="A34" s="11" t="n"/>
    </row>
    <row r="35">
      <c r="A35" s="11" t="n"/>
    </row>
    <row r="36">
      <c r="A36" s="11" t="n"/>
    </row>
    <row r="37">
      <c r="A37" s="11" t="n"/>
    </row>
    <row r="38">
      <c r="A38" s="11" t="n"/>
    </row>
    <row r="39">
      <c r="A39" s="11" t="n"/>
    </row>
    <row r="40">
      <c r="A40" s="11" t="n"/>
    </row>
    <row r="41">
      <c r="A41" s="11" t="n"/>
    </row>
    <row r="42">
      <c r="A42" s="11" t="n"/>
    </row>
    <row r="43">
      <c r="A43" s="11" t="n"/>
    </row>
    <row r="44">
      <c r="A44" s="11" t="n"/>
    </row>
    <row r="45">
      <c r="A45" s="11" t="n"/>
    </row>
    <row r="46">
      <c r="A46" s="11" t="n"/>
    </row>
    <row r="47">
      <c r="A47" s="11" t="n"/>
    </row>
    <row r="48">
      <c r="A48" s="11" t="n"/>
    </row>
    <row r="49">
      <c r="A49" s="11" t="n"/>
    </row>
    <row r="50">
      <c r="A50" s="11" t="n"/>
    </row>
    <row r="51">
      <c r="A51" s="11" t="n"/>
    </row>
    <row r="52">
      <c r="A52" s="11" t="n"/>
    </row>
    <row r="53">
      <c r="A53" s="11" t="n"/>
    </row>
    <row r="54">
      <c r="A54" s="11" t="n"/>
    </row>
    <row r="55">
      <c r="A55" s="11" t="n"/>
    </row>
    <row r="56">
      <c r="A56" s="11" t="n"/>
    </row>
    <row r="57">
      <c r="A57" s="11" t="n"/>
    </row>
    <row r="58">
      <c r="A58" s="11" t="n"/>
    </row>
    <row r="59">
      <c r="A59" s="11" t="n"/>
    </row>
    <row r="60">
      <c r="A60" s="11" t="n"/>
    </row>
    <row r="61">
      <c r="A61" s="11" t="n"/>
    </row>
    <row r="62">
      <c r="A62" s="11" t="n"/>
    </row>
    <row r="63">
      <c r="A63" s="11" t="n"/>
    </row>
    <row r="64">
      <c r="A64" s="11" t="n"/>
    </row>
    <row r="65">
      <c r="A65" s="11" t="n"/>
    </row>
    <row r="66">
      <c r="A66" s="11" t="n"/>
    </row>
    <row r="67">
      <c r="A67" s="11" t="n"/>
    </row>
    <row r="68">
      <c r="A68" s="11" t="n"/>
    </row>
    <row r="69">
      <c r="A69" s="11" t="n"/>
    </row>
    <row r="70">
      <c r="A70" s="11" t="n"/>
    </row>
    <row r="71">
      <c r="A71" s="11" t="n"/>
    </row>
    <row r="72">
      <c r="A72" s="11" t="n"/>
    </row>
    <row r="73">
      <c r="A73" s="11" t="n"/>
    </row>
    <row r="74">
      <c r="A74" s="11" t="n"/>
    </row>
    <row r="75">
      <c r="A75" s="11" t="n"/>
    </row>
    <row r="76">
      <c r="A76" s="11" t="n"/>
    </row>
    <row r="77">
      <c r="A77" s="11" t="n"/>
    </row>
    <row r="78">
      <c r="A78" s="11" t="n"/>
    </row>
    <row r="79">
      <c r="A79" s="11" t="n"/>
    </row>
    <row r="80">
      <c r="A80" s="11" t="n"/>
    </row>
    <row r="81">
      <c r="A81" s="11" t="n"/>
    </row>
    <row r="82">
      <c r="A82" s="11" t="n"/>
    </row>
    <row r="83">
      <c r="A83" s="11" t="n"/>
    </row>
    <row r="84">
      <c r="A84" s="11" t="n"/>
    </row>
    <row r="85">
      <c r="A85" s="11" t="n"/>
    </row>
    <row r="86">
      <c r="A86" s="11" t="n"/>
    </row>
    <row r="87">
      <c r="A87" s="11" t="n"/>
    </row>
    <row r="88">
      <c r="A88" s="11" t="n"/>
    </row>
    <row r="89">
      <c r="A89" s="11" t="n"/>
    </row>
    <row r="90">
      <c r="A90" s="11" t="n"/>
    </row>
    <row r="91">
      <c r="A91" s="11" t="n"/>
    </row>
    <row r="92">
      <c r="A92" s="11" t="n"/>
    </row>
    <row r="93">
      <c r="A93" s="11" t="n"/>
    </row>
    <row r="94">
      <c r="A94" s="11" t="n"/>
    </row>
    <row r="95">
      <c r="A95" s="11" t="n"/>
    </row>
    <row r="96">
      <c r="A96" s="11" t="n"/>
    </row>
    <row r="97">
      <c r="A97" s="11" t="n"/>
    </row>
    <row r="98">
      <c r="A98" s="11" t="n"/>
    </row>
    <row r="99">
      <c r="A99" s="11" t="n"/>
    </row>
    <row r="100">
      <c r="A100" s="11" t="n"/>
    </row>
    <row r="101">
      <c r="A101" s="11" t="n"/>
    </row>
    <row r="102">
      <c r="A102" s="11" t="n"/>
    </row>
    <row r="103">
      <c r="A103" s="11" t="n"/>
    </row>
    <row r="104">
      <c r="A104" s="11" t="n"/>
    </row>
    <row r="105">
      <c r="A105" s="11" t="n"/>
    </row>
    <row r="106">
      <c r="A106" s="11" t="n"/>
    </row>
    <row r="107">
      <c r="A107" s="11" t="n"/>
    </row>
    <row r="108">
      <c r="A108" s="11" t="n"/>
    </row>
    <row r="109">
      <c r="A109" s="11" t="n"/>
    </row>
    <row r="110">
      <c r="A110" s="11" t="n"/>
    </row>
    <row r="111">
      <c r="A111" s="11" t="n"/>
    </row>
    <row r="112">
      <c r="A112" s="11" t="n"/>
    </row>
    <row r="113">
      <c r="A113" s="11" t="n"/>
    </row>
    <row r="114">
      <c r="A114" s="11" t="n"/>
    </row>
    <row r="115">
      <c r="A115" s="11" t="n"/>
    </row>
    <row r="116">
      <c r="A116" s="11" t="n"/>
    </row>
    <row r="117">
      <c r="A117" s="11" t="n"/>
    </row>
    <row r="118">
      <c r="A118" s="11" t="n"/>
    </row>
    <row r="119">
      <c r="A119" s="11" t="n"/>
    </row>
    <row r="120">
      <c r="A120" s="11" t="n"/>
    </row>
    <row r="121">
      <c r="A121" s="11" t="n"/>
    </row>
    <row r="122">
      <c r="A122" s="11" t="n"/>
    </row>
    <row r="123">
      <c r="A123" s="11" t="n"/>
    </row>
    <row r="124">
      <c r="A124" s="11" t="n"/>
    </row>
    <row r="125">
      <c r="A125" s="11" t="n"/>
    </row>
    <row r="126">
      <c r="A126" s="11" t="n"/>
    </row>
    <row r="127">
      <c r="A127" s="11" t="n"/>
    </row>
    <row r="128">
      <c r="A128" s="11" t="n"/>
    </row>
    <row r="129">
      <c r="A129" s="11" t="n"/>
    </row>
    <row r="130">
      <c r="A130" s="11" t="n"/>
    </row>
    <row r="131">
      <c r="A131" s="11" t="n"/>
    </row>
    <row r="132">
      <c r="A132" s="11" t="n"/>
    </row>
    <row r="133">
      <c r="A133" s="11" t="n"/>
    </row>
    <row r="134">
      <c r="A134" s="11" t="n"/>
    </row>
    <row r="135">
      <c r="A135" s="11" t="n"/>
    </row>
    <row r="136">
      <c r="A136" s="11" t="n"/>
    </row>
    <row r="137">
      <c r="A137" s="11" t="n"/>
    </row>
    <row r="138">
      <c r="A138" s="11" t="n"/>
    </row>
    <row r="139">
      <c r="A139" s="11" t="n"/>
    </row>
    <row r="140">
      <c r="A140" s="11" t="n"/>
    </row>
    <row r="141">
      <c r="A141" s="11" t="n"/>
    </row>
    <row r="142">
      <c r="A142" s="11" t="n"/>
    </row>
    <row r="143">
      <c r="A143" s="11" t="n"/>
    </row>
    <row r="144">
      <c r="A144" s="11" t="n"/>
    </row>
    <row r="145">
      <c r="A145" s="11" t="n"/>
    </row>
    <row r="146">
      <c r="A146" s="11" t="n"/>
    </row>
    <row r="147">
      <c r="A147" s="11" t="n"/>
    </row>
    <row r="148">
      <c r="A148" s="11" t="n"/>
    </row>
    <row r="149">
      <c r="A149" s="11" t="n"/>
    </row>
    <row r="150">
      <c r="A150" s="11" t="n"/>
    </row>
    <row r="151">
      <c r="A151" s="11" t="n"/>
    </row>
    <row r="152">
      <c r="A152" s="11" t="n"/>
    </row>
    <row r="153">
      <c r="A153" s="11" t="n"/>
    </row>
    <row r="154">
      <c r="A154" s="11" t="n"/>
    </row>
    <row r="155">
      <c r="A155" s="11" t="n"/>
    </row>
    <row r="156">
      <c r="A156" s="11" t="n"/>
    </row>
    <row r="157">
      <c r="A157" s="11" t="n"/>
    </row>
    <row r="158">
      <c r="A158" s="11" t="n"/>
    </row>
    <row r="159">
      <c r="A159" s="11" t="n"/>
    </row>
    <row r="160">
      <c r="A160" s="11" t="n"/>
    </row>
    <row r="161">
      <c r="A161" s="11" t="n"/>
    </row>
    <row r="162">
      <c r="A162" s="11" t="n"/>
    </row>
    <row r="163">
      <c r="A163" s="11" t="n"/>
    </row>
    <row r="164">
      <c r="A164" s="11" t="n"/>
    </row>
    <row r="165">
      <c r="A165" s="11" t="n"/>
    </row>
    <row r="166">
      <c r="A166" s="11" t="n"/>
    </row>
    <row r="167">
      <c r="A167" s="11" t="n"/>
    </row>
    <row r="168">
      <c r="A168" s="11" t="n"/>
    </row>
    <row r="169">
      <c r="A169" s="11" t="n"/>
    </row>
    <row r="170">
      <c r="A170" s="11" t="n"/>
    </row>
    <row r="171">
      <c r="A171" s="11" t="n"/>
    </row>
    <row r="172">
      <c r="A172" s="11" t="n"/>
    </row>
    <row r="173">
      <c r="A173" s="11" t="n"/>
    </row>
    <row r="174">
      <c r="A174" s="11" t="n"/>
    </row>
    <row r="175">
      <c r="A175" s="11" t="n"/>
    </row>
    <row r="176">
      <c r="A176" s="11" t="n"/>
    </row>
    <row r="177">
      <c r="A177" s="11" t="n"/>
    </row>
    <row r="178">
      <c r="A178" s="11" t="n"/>
    </row>
    <row r="179">
      <c r="A179" s="11" t="n"/>
    </row>
    <row r="180">
      <c r="A180" s="11" t="n"/>
    </row>
    <row r="181">
      <c r="A181" s="11" t="n"/>
    </row>
    <row r="182">
      <c r="A182" s="11" t="n"/>
    </row>
    <row r="183">
      <c r="A183" s="11" t="n"/>
    </row>
    <row r="184">
      <c r="A184" s="11" t="n"/>
    </row>
    <row r="185">
      <c r="A185" s="11" t="n"/>
    </row>
    <row r="186">
      <c r="A186" s="11" t="n"/>
    </row>
    <row r="187">
      <c r="A187" s="11" t="n"/>
    </row>
    <row r="188">
      <c r="A188" s="11" t="n"/>
    </row>
    <row r="189">
      <c r="A189" s="11" t="n"/>
    </row>
    <row r="190">
      <c r="A190" s="11" t="n"/>
    </row>
    <row r="191">
      <c r="A191" s="11" t="n"/>
    </row>
    <row r="192">
      <c r="A192" s="11" t="n"/>
    </row>
    <row r="193">
      <c r="A193" s="11" t="n"/>
    </row>
    <row r="194">
      <c r="A194" s="11" t="n"/>
    </row>
    <row r="195">
      <c r="A195" s="11" t="n"/>
    </row>
    <row r="196">
      <c r="A196" s="11" t="n"/>
    </row>
    <row r="197">
      <c r="A197" s="11" t="n"/>
    </row>
    <row r="198">
      <c r="A198" s="11" t="n"/>
    </row>
    <row r="199">
      <c r="A199" s="11" t="n"/>
    </row>
    <row r="200">
      <c r="A200" s="11" t="n"/>
    </row>
    <row r="201">
      <c r="A201" s="11" t="n"/>
    </row>
    <row r="202">
      <c r="A202" s="11" t="n"/>
    </row>
    <row r="203">
      <c r="A203" s="11" t="n"/>
    </row>
    <row r="204">
      <c r="A204" s="11" t="n"/>
    </row>
    <row r="205">
      <c r="A205" s="11" t="n"/>
    </row>
    <row r="206">
      <c r="A206" s="11" t="n"/>
    </row>
    <row r="207">
      <c r="A207" s="11" t="n"/>
    </row>
    <row r="208">
      <c r="A208" s="11" t="n"/>
    </row>
    <row r="209">
      <c r="A209" s="11" t="n"/>
    </row>
    <row r="210">
      <c r="A210" s="11" t="n"/>
    </row>
    <row r="211">
      <c r="A211" s="11" t="n"/>
    </row>
    <row r="212">
      <c r="A212" s="11" t="n"/>
    </row>
    <row r="213">
      <c r="A213" s="11" t="n"/>
    </row>
    <row r="214">
      <c r="A214" s="11" t="n"/>
    </row>
    <row r="215">
      <c r="A215" s="11" t="n"/>
    </row>
    <row r="216">
      <c r="A216" s="11" t="n"/>
    </row>
    <row r="217">
      <c r="A217" s="11" t="n"/>
    </row>
    <row r="218">
      <c r="A218" s="11" t="n"/>
    </row>
    <row r="219">
      <c r="A219" s="11" t="n"/>
    </row>
    <row r="220">
      <c r="A220" s="11" t="n"/>
    </row>
    <row r="221">
      <c r="A221" s="11" t="n"/>
    </row>
    <row r="222">
      <c r="A222" s="11" t="n"/>
    </row>
    <row r="223">
      <c r="A223" s="11" t="n"/>
    </row>
    <row r="224">
      <c r="A224" s="11" t="n"/>
    </row>
    <row r="225">
      <c r="A225" s="11" t="n"/>
    </row>
    <row r="226">
      <c r="A226" s="11" t="n"/>
    </row>
    <row r="227">
      <c r="A227" s="11" t="n"/>
    </row>
    <row r="228">
      <c r="A228" s="11" t="n"/>
    </row>
    <row r="229">
      <c r="A229" s="11" t="n"/>
    </row>
    <row r="230">
      <c r="A230" s="11" t="n"/>
    </row>
    <row r="231">
      <c r="A231" s="11" t="n"/>
    </row>
    <row r="232">
      <c r="A232" s="11" t="n"/>
    </row>
    <row r="233">
      <c r="A233" s="11" t="n"/>
    </row>
    <row r="234">
      <c r="A234" s="11" t="n"/>
    </row>
    <row r="235">
      <c r="A235" s="11" t="n"/>
    </row>
    <row r="236">
      <c r="A236" s="11" t="n"/>
    </row>
    <row r="237">
      <c r="A237" s="11" t="n"/>
    </row>
    <row r="238">
      <c r="A238" s="11" t="n"/>
    </row>
    <row r="239">
      <c r="A239" s="11" t="n"/>
    </row>
    <row r="240">
      <c r="A240" s="11" t="n"/>
    </row>
    <row r="241">
      <c r="A241" s="11" t="n"/>
    </row>
    <row r="242">
      <c r="A242" s="11" t="n"/>
    </row>
    <row r="243">
      <c r="A243" s="11" t="n"/>
    </row>
    <row r="244">
      <c r="A244" s="11" t="n"/>
    </row>
    <row r="245">
      <c r="A245" s="11" t="n"/>
    </row>
    <row r="246">
      <c r="A246" s="11" t="n"/>
    </row>
    <row r="247">
      <c r="A247" s="11" t="n"/>
    </row>
    <row r="248">
      <c r="A248" s="11" t="n"/>
    </row>
    <row r="249">
      <c r="A249" s="11" t="n"/>
    </row>
    <row r="250">
      <c r="A250" s="11" t="n"/>
    </row>
    <row r="251">
      <c r="A251" s="11" t="n"/>
    </row>
    <row r="252">
      <c r="A252" s="11" t="n"/>
    </row>
    <row r="253">
      <c r="A253" s="11" t="n"/>
    </row>
    <row r="254">
      <c r="A254" s="11" t="n"/>
    </row>
    <row r="255">
      <c r="A255" s="11" t="n"/>
    </row>
    <row r="256">
      <c r="A256" s="11" t="n"/>
    </row>
    <row r="257">
      <c r="A257" s="11" t="n"/>
    </row>
    <row r="258">
      <c r="A258" s="11" t="n"/>
    </row>
    <row r="259">
      <c r="A259" s="11" t="n"/>
    </row>
    <row r="260">
      <c r="A260" s="11" t="n"/>
    </row>
    <row r="261">
      <c r="A261" s="11" t="n"/>
    </row>
    <row r="262">
      <c r="A262" s="11" t="n"/>
    </row>
    <row r="263">
      <c r="A263" s="11" t="n"/>
    </row>
    <row r="264">
      <c r="A264" s="11" t="n"/>
    </row>
    <row r="265">
      <c r="A265" s="11" t="n"/>
    </row>
    <row r="266">
      <c r="A266" s="11" t="n"/>
    </row>
    <row r="267">
      <c r="A267" s="11" t="n"/>
    </row>
    <row r="268">
      <c r="A268" s="11" t="n"/>
    </row>
    <row r="269">
      <c r="A269" s="11" t="n"/>
    </row>
    <row r="270">
      <c r="A270" s="11" t="n"/>
    </row>
    <row r="271">
      <c r="A271" s="11" t="n"/>
    </row>
    <row r="272">
      <c r="A272" s="11" t="n"/>
    </row>
    <row r="273">
      <c r="A273" s="11" t="n"/>
    </row>
    <row r="274">
      <c r="A274" s="11" t="n"/>
    </row>
    <row r="275">
      <c r="A275" s="11" t="n"/>
    </row>
    <row r="276">
      <c r="A276" s="11" t="n"/>
    </row>
    <row r="277">
      <c r="A277" s="11" t="n"/>
    </row>
    <row r="278">
      <c r="A278" s="11" t="n"/>
    </row>
    <row r="279">
      <c r="A279" s="11" t="n"/>
    </row>
    <row r="280">
      <c r="A280" s="11" t="n"/>
    </row>
    <row r="281">
      <c r="A281" s="11" t="n"/>
    </row>
    <row r="282">
      <c r="A282" s="11" t="n"/>
    </row>
    <row r="283">
      <c r="A283" s="11" t="n"/>
    </row>
    <row r="284">
      <c r="A284" s="11" t="n"/>
    </row>
    <row r="285">
      <c r="A285" s="11" t="n"/>
    </row>
    <row r="286">
      <c r="A286" s="11" t="n"/>
    </row>
    <row r="287">
      <c r="A287" s="11" t="n"/>
    </row>
    <row r="288">
      <c r="A288" s="11" t="n"/>
    </row>
    <row r="289">
      <c r="A289" s="11" t="n"/>
    </row>
    <row r="290">
      <c r="A290" s="11" t="n"/>
    </row>
    <row r="291">
      <c r="A291" s="11" t="n"/>
    </row>
    <row r="292">
      <c r="A292" s="11" t="n"/>
    </row>
    <row r="293">
      <c r="A293" s="11" t="n"/>
    </row>
    <row r="294">
      <c r="A294" s="11" t="n"/>
    </row>
    <row r="295">
      <c r="A295" s="11" t="n"/>
    </row>
    <row r="296">
      <c r="A296" s="11" t="n"/>
    </row>
    <row r="297">
      <c r="A297" s="11" t="n"/>
    </row>
    <row r="298">
      <c r="A298" s="11" t="n"/>
    </row>
    <row r="299">
      <c r="A299" s="11" t="n"/>
    </row>
    <row r="300">
      <c r="A300" s="11" t="n"/>
    </row>
    <row r="301">
      <c r="A301" s="11" t="n"/>
    </row>
    <row r="302">
      <c r="A302" s="11" t="n"/>
    </row>
    <row r="303">
      <c r="A303" s="11" t="n"/>
    </row>
    <row r="304">
      <c r="A304" s="11" t="n"/>
    </row>
  </sheetData>
  <conditionalFormatting sqref="D2:D400">
    <cfRule type="colorScale" priority="1">
      <colorScale>
        <cfvo type="num" val="1"/>
        <cfvo type="num" val="3"/>
        <cfvo type="num" val="5"/>
        <color rgb="00F8CBAD"/>
        <color rgb="00FFF2CC"/>
        <color rgb="00C6E0B4"/>
      </colorScale>
    </cfRule>
  </conditionalFormatting>
  <dataValidations count="3">
    <dataValidation sqref="B2:B400" showDropDown="0" showInputMessage="0" showErrorMessage="0" allowBlank="1" error="Pick a Staff_ID from the Staff sheet." type="list">
      <formula1>=Staff!$A$2:$A$200</formula1>
    </dataValidation>
    <dataValidation sqref="C2:C400" showDropDown="0" showInputMessage="0" showErrorMessage="0" allowBlank="1" error="Pick a Skill_ID from Skills_List." type="list">
      <formula1>=Skills_List!$A$2:$A$200</formula1>
    </dataValidation>
    <dataValidation sqref="D2:D400" showDropDown="0" showInputMessage="0" showErrorMessage="0" allowBlank="1" error="Score must be 1–5.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18" customWidth="1" min="4" max="4"/>
    <col width="16" customWidth="1" min="5" max="5"/>
    <col width="28" customWidth="1" min="6" max="6"/>
    <col width="10" customWidth="1" min="7" max="7"/>
    <col width="34" customWidth="1" min="8" max="8"/>
    <col width="16" customWidth="1" min="9" max="9"/>
  </cols>
  <sheetData>
    <row r="1" ht="24" customHeight="1">
      <c r="A1" s="9" t="inlineStr">
        <is>
          <t>Client</t>
        </is>
      </c>
      <c r="B1" s="9" t="inlineStr">
        <is>
          <t>Ad_Account</t>
        </is>
      </c>
      <c r="C1" s="9" t="inlineStr">
        <is>
          <t>Campaign</t>
        </is>
      </c>
      <c r="D1" s="9" t="inlineStr">
        <is>
          <t>Campaign_ID (optional)</t>
        </is>
      </c>
      <c r="E1" s="9" t="inlineStr">
        <is>
          <t>Owner_Staff_ID</t>
        </is>
      </c>
      <c r="F1" s="9" t="inlineStr">
        <is>
          <t>Notes</t>
        </is>
      </c>
      <c r="G1" s="3" t="n"/>
      <c r="H1" s="9" t="inlineStr">
        <is>
          <t>Key (auto)</t>
        </is>
      </c>
      <c r="I1" s="9" t="inlineStr">
        <is>
          <t>Owner (auto)</t>
        </is>
      </c>
    </row>
    <row r="2">
      <c r="A2" s="3" t="inlineStr">
        <is>
          <t>Acme Fitness</t>
        </is>
      </c>
      <c r="B2" s="3" t="inlineStr">
        <is>
          <t>Acme_US</t>
        </is>
      </c>
      <c r="C2" s="3" t="inlineStr">
        <is>
          <t>Prospecting - Broad</t>
        </is>
      </c>
      <c r="D2" s="3" t="inlineStr"/>
      <c r="E2" s="3" t="inlineStr">
        <is>
          <t>S001</t>
        </is>
      </c>
      <c r="F2" s="3" t="inlineStr"/>
      <c r="G2" s="3" t="n"/>
      <c r="H2" s="13">
        <f>IF(A2&lt;&gt;"",A2&amp;"|"&amp;B2&amp;"|"&amp;C2,"")</f>
        <v/>
      </c>
      <c r="I2" s="13">
        <f>E2</f>
        <v/>
      </c>
    </row>
    <row r="3">
      <c r="A3" s="3" t="inlineStr">
        <is>
          <t>Acme Fitness</t>
        </is>
      </c>
      <c r="B3" s="3" t="inlineStr">
        <is>
          <t>Acme_US</t>
        </is>
      </c>
      <c r="C3" s="3" t="inlineStr">
        <is>
          <t>Retargeting - 30d</t>
        </is>
      </c>
      <c r="D3" s="3" t="inlineStr"/>
      <c r="E3" s="3" t="inlineStr">
        <is>
          <t>S001</t>
        </is>
      </c>
      <c r="F3" s="3" t="inlineStr"/>
      <c r="G3" s="3" t="n"/>
      <c r="H3" s="13">
        <f>IF(A3&lt;&gt;"",A3&amp;"|"&amp;B3&amp;"|"&amp;C3,"")</f>
        <v/>
      </c>
      <c r="I3" s="13">
        <f>E3</f>
        <v/>
      </c>
    </row>
    <row r="4">
      <c r="A4" s="3" t="n"/>
      <c r="B4" s="3" t="n"/>
      <c r="C4" s="3" t="n"/>
      <c r="D4" s="3" t="n"/>
      <c r="E4" s="3" t="n"/>
      <c r="F4" s="3" t="n"/>
      <c r="G4" s="3" t="n"/>
      <c r="H4" s="13">
        <f>IF(A4&lt;&gt;"",A4&amp;"|"&amp;B4&amp;"|"&amp;C4,"")</f>
        <v/>
      </c>
      <c r="I4" s="13">
        <f>E4</f>
        <v/>
      </c>
    </row>
    <row r="5">
      <c r="A5" s="3" t="n"/>
      <c r="B5" s="3" t="n"/>
      <c r="C5" s="3" t="n"/>
      <c r="D5" s="3" t="n"/>
      <c r="E5" s="3" t="n"/>
      <c r="F5" s="3" t="n"/>
      <c r="G5" s="3" t="n"/>
      <c r="H5" s="13">
        <f>IF(A5&lt;&gt;"",A5&amp;"|"&amp;B5&amp;"|"&amp;C5,"")</f>
        <v/>
      </c>
      <c r="I5" s="13">
        <f>E5</f>
        <v/>
      </c>
    </row>
    <row r="6">
      <c r="A6" s="3" t="n"/>
      <c r="B6" s="3" t="n"/>
      <c r="C6" s="3" t="n"/>
      <c r="D6" s="3" t="n"/>
      <c r="E6" s="3" t="n"/>
      <c r="F6" s="3" t="n"/>
      <c r="G6" s="3" t="n"/>
      <c r="H6" s="13">
        <f>IF(A6&lt;&gt;"",A6&amp;"|"&amp;B6&amp;"|"&amp;C6,"")</f>
        <v/>
      </c>
      <c r="I6" s="13">
        <f>E6</f>
        <v/>
      </c>
    </row>
    <row r="7">
      <c r="A7" s="3" t="n"/>
      <c r="B7" s="3" t="n"/>
      <c r="C7" s="3" t="n"/>
      <c r="D7" s="3" t="n"/>
      <c r="E7" s="3" t="n"/>
      <c r="F7" s="3" t="n"/>
      <c r="G7" s="3" t="n"/>
      <c r="H7" s="13">
        <f>IF(A7&lt;&gt;"",A7&amp;"|"&amp;B7&amp;"|"&amp;C7,"")</f>
        <v/>
      </c>
      <c r="I7" s="13">
        <f>E7</f>
        <v/>
      </c>
    </row>
    <row r="8">
      <c r="A8" s="3" t="n"/>
      <c r="B8" s="3" t="n"/>
      <c r="C8" s="3" t="n"/>
      <c r="D8" s="3" t="n"/>
      <c r="E8" s="3" t="n"/>
      <c r="F8" s="3" t="n"/>
      <c r="G8" s="3" t="n"/>
      <c r="H8" s="13">
        <f>IF(A8&lt;&gt;"",A8&amp;"|"&amp;B8&amp;"|"&amp;C8,"")</f>
        <v/>
      </c>
      <c r="I8" s="13">
        <f>E8</f>
        <v/>
      </c>
    </row>
    <row r="9">
      <c r="A9" s="3" t="n"/>
      <c r="B9" s="3" t="n"/>
      <c r="C9" s="3" t="n"/>
      <c r="D9" s="3" t="n"/>
      <c r="E9" s="3" t="n"/>
      <c r="F9" s="3" t="n"/>
      <c r="G9" s="3" t="n"/>
      <c r="H9" s="13">
        <f>IF(A9&lt;&gt;"",A9&amp;"|"&amp;B9&amp;"|"&amp;C9,"")</f>
        <v/>
      </c>
      <c r="I9" s="13">
        <f>E9</f>
        <v/>
      </c>
    </row>
    <row r="10">
      <c r="A10" s="3" t="n"/>
      <c r="B10" s="3" t="n"/>
      <c r="C10" s="3" t="n"/>
      <c r="D10" s="3" t="n"/>
      <c r="E10" s="3" t="n"/>
      <c r="F10" s="3" t="n"/>
      <c r="G10" s="3" t="n"/>
      <c r="H10" s="13">
        <f>IF(A10&lt;&gt;"",A10&amp;"|"&amp;B10&amp;"|"&amp;C10,"")</f>
        <v/>
      </c>
      <c r="I10" s="13">
        <f>E10</f>
        <v/>
      </c>
    </row>
    <row r="11">
      <c r="A11" s="3" t="n"/>
      <c r="B11" s="3" t="n"/>
      <c r="C11" s="3" t="n"/>
      <c r="D11" s="3" t="n"/>
      <c r="E11" s="3" t="n"/>
      <c r="F11" s="3" t="n"/>
      <c r="G11" s="3" t="n"/>
      <c r="H11" s="13">
        <f>IF(A11&lt;&gt;"",A11&amp;"|"&amp;B11&amp;"|"&amp;C11,"")</f>
        <v/>
      </c>
      <c r="I11" s="13">
        <f>E11</f>
        <v/>
      </c>
    </row>
    <row r="12">
      <c r="A12" s="3" t="n"/>
      <c r="B12" s="3" t="n"/>
      <c r="C12" s="3" t="n"/>
      <c r="D12" s="3" t="n"/>
      <c r="E12" s="3" t="n"/>
      <c r="F12" s="3" t="n"/>
      <c r="G12" s="3" t="n"/>
      <c r="H12" s="13">
        <f>IF(A12&lt;&gt;"",A12&amp;"|"&amp;B12&amp;"|"&amp;C12,"")</f>
        <v/>
      </c>
      <c r="I12" s="13">
        <f>E12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13">
        <f>IF(A13&lt;&gt;"",A13&amp;"|"&amp;B13&amp;"|"&amp;C13,"")</f>
        <v/>
      </c>
      <c r="I13" s="13">
        <f>E13</f>
        <v/>
      </c>
    </row>
    <row r="14">
      <c r="A14" s="3" t="n"/>
      <c r="B14" s="3" t="n"/>
      <c r="C14" s="3" t="n"/>
      <c r="D14" s="3" t="n"/>
      <c r="E14" s="3" t="n"/>
      <c r="F14" s="3" t="n"/>
      <c r="G14" s="3" t="n"/>
      <c r="H14" s="13">
        <f>IF(A14&lt;&gt;"",A14&amp;"|"&amp;B14&amp;"|"&amp;C14,"")</f>
        <v/>
      </c>
      <c r="I14" s="13">
        <f>E14</f>
        <v/>
      </c>
    </row>
    <row r="15">
      <c r="A15" s="3" t="n"/>
      <c r="B15" s="3" t="n"/>
      <c r="C15" s="3" t="n"/>
      <c r="D15" s="3" t="n"/>
      <c r="E15" s="3" t="n"/>
      <c r="F15" s="3" t="n"/>
      <c r="G15" s="3" t="n"/>
      <c r="H15" s="13">
        <f>IF(A15&lt;&gt;"",A15&amp;"|"&amp;B15&amp;"|"&amp;C15,"")</f>
        <v/>
      </c>
      <c r="I15" s="13">
        <f>E15</f>
        <v/>
      </c>
    </row>
    <row r="16">
      <c r="A16" s="3" t="n"/>
      <c r="B16" s="3" t="n"/>
      <c r="C16" s="3" t="n"/>
      <c r="D16" s="3" t="n"/>
      <c r="E16" s="3" t="n"/>
      <c r="F16" s="3" t="n"/>
      <c r="G16" s="3" t="n"/>
      <c r="H16" s="13">
        <f>IF(A16&lt;&gt;"",A16&amp;"|"&amp;B16&amp;"|"&amp;C16,"")</f>
        <v/>
      </c>
      <c r="I16" s="13">
        <f>E16</f>
        <v/>
      </c>
    </row>
    <row r="17">
      <c r="A17" s="3" t="n"/>
      <c r="B17" s="3" t="n"/>
      <c r="C17" s="3" t="n"/>
      <c r="D17" s="3" t="n"/>
      <c r="E17" s="3" t="n"/>
      <c r="F17" s="3" t="n"/>
      <c r="G17" s="3" t="n"/>
      <c r="H17" s="13">
        <f>IF(A17&lt;&gt;"",A17&amp;"|"&amp;B17&amp;"|"&amp;C17,"")</f>
        <v/>
      </c>
      <c r="I17" s="13">
        <f>E17</f>
        <v/>
      </c>
    </row>
    <row r="18">
      <c r="A18" s="3" t="n"/>
      <c r="B18" s="3" t="n"/>
      <c r="C18" s="3" t="n"/>
      <c r="D18" s="3" t="n"/>
      <c r="E18" s="3" t="n"/>
      <c r="F18" s="3" t="n"/>
      <c r="G18" s="3" t="n"/>
      <c r="H18" s="13">
        <f>IF(A18&lt;&gt;"",A18&amp;"|"&amp;B18&amp;"|"&amp;C18,"")</f>
        <v/>
      </c>
      <c r="I18" s="13">
        <f>E18</f>
        <v/>
      </c>
    </row>
    <row r="19">
      <c r="A19" s="3" t="n"/>
      <c r="B19" s="3" t="n"/>
      <c r="C19" s="3" t="n"/>
      <c r="D19" s="3" t="n"/>
      <c r="E19" s="3" t="n"/>
      <c r="F19" s="3" t="n"/>
      <c r="G19" s="3" t="n"/>
      <c r="H19" s="13">
        <f>IF(A19&lt;&gt;"",A19&amp;"|"&amp;B19&amp;"|"&amp;C19,"")</f>
        <v/>
      </c>
      <c r="I19" s="13">
        <f>E19</f>
        <v/>
      </c>
    </row>
    <row r="20">
      <c r="A20" s="3" t="n"/>
      <c r="B20" s="3" t="n"/>
      <c r="C20" s="3" t="n"/>
      <c r="D20" s="3" t="n"/>
      <c r="E20" s="3" t="n"/>
      <c r="F20" s="3" t="n"/>
      <c r="G20" s="3" t="n"/>
      <c r="H20" s="13">
        <f>IF(A20&lt;&gt;"",A20&amp;"|"&amp;B20&amp;"|"&amp;C20,"")</f>
        <v/>
      </c>
      <c r="I20" s="13">
        <f>E20</f>
        <v/>
      </c>
    </row>
    <row r="21">
      <c r="H21" s="14">
        <f>IF(A21&lt;&gt;"",A21&amp;"|"&amp;B21&amp;"|"&amp;C21,"")</f>
        <v/>
      </c>
      <c r="I21" s="14">
        <f>E21</f>
        <v/>
      </c>
    </row>
    <row r="22">
      <c r="H22" s="14">
        <f>IF(A22&lt;&gt;"",A22&amp;"|"&amp;B22&amp;"|"&amp;C22,"")</f>
        <v/>
      </c>
      <c r="I22" s="14">
        <f>E22</f>
        <v/>
      </c>
    </row>
    <row r="23">
      <c r="H23" s="14">
        <f>IF(A23&lt;&gt;"",A23&amp;"|"&amp;B23&amp;"|"&amp;C23,"")</f>
        <v/>
      </c>
      <c r="I23" s="14">
        <f>E23</f>
        <v/>
      </c>
    </row>
    <row r="24">
      <c r="H24" s="14">
        <f>IF(A24&lt;&gt;"",A24&amp;"|"&amp;B24&amp;"|"&amp;C24,"")</f>
        <v/>
      </c>
      <c r="I24" s="14">
        <f>E24</f>
        <v/>
      </c>
    </row>
    <row r="25">
      <c r="H25" s="14">
        <f>IF(A25&lt;&gt;"",A25&amp;"|"&amp;B25&amp;"|"&amp;C25,"")</f>
        <v/>
      </c>
      <c r="I25" s="14">
        <f>E25</f>
        <v/>
      </c>
    </row>
    <row r="26">
      <c r="H26" s="14">
        <f>IF(A26&lt;&gt;"",A26&amp;"|"&amp;B26&amp;"|"&amp;C26,"")</f>
        <v/>
      </c>
      <c r="I26" s="14">
        <f>E26</f>
        <v/>
      </c>
    </row>
    <row r="27">
      <c r="H27" s="14">
        <f>IF(A27&lt;&gt;"",A27&amp;"|"&amp;B27&amp;"|"&amp;C27,"")</f>
        <v/>
      </c>
      <c r="I27" s="14">
        <f>E27</f>
        <v/>
      </c>
    </row>
    <row r="28">
      <c r="H28" s="14">
        <f>IF(A28&lt;&gt;"",A28&amp;"|"&amp;B28&amp;"|"&amp;C28,"")</f>
        <v/>
      </c>
      <c r="I28" s="14">
        <f>E28</f>
        <v/>
      </c>
    </row>
    <row r="29">
      <c r="H29" s="14">
        <f>IF(A29&lt;&gt;"",A29&amp;"|"&amp;B29&amp;"|"&amp;C29,"")</f>
        <v/>
      </c>
      <c r="I29" s="14">
        <f>E29</f>
        <v/>
      </c>
    </row>
    <row r="30">
      <c r="H30" s="14">
        <f>IF(A30&lt;&gt;"",A30&amp;"|"&amp;B30&amp;"|"&amp;C30,"")</f>
        <v/>
      </c>
      <c r="I30" s="14">
        <f>E30</f>
        <v/>
      </c>
    </row>
    <row r="31">
      <c r="H31" s="14">
        <f>IF(A31&lt;&gt;"",A31&amp;"|"&amp;B31&amp;"|"&amp;C31,"")</f>
        <v/>
      </c>
      <c r="I31" s="14">
        <f>E31</f>
        <v/>
      </c>
    </row>
    <row r="32">
      <c r="H32" s="14">
        <f>IF(A32&lt;&gt;"",A32&amp;"|"&amp;B32&amp;"|"&amp;C32,"")</f>
        <v/>
      </c>
      <c r="I32" s="14">
        <f>E32</f>
        <v/>
      </c>
    </row>
    <row r="33">
      <c r="H33" s="14">
        <f>IF(A33&lt;&gt;"",A33&amp;"|"&amp;B33&amp;"|"&amp;C33,"")</f>
        <v/>
      </c>
      <c r="I33" s="14">
        <f>E33</f>
        <v/>
      </c>
    </row>
    <row r="34">
      <c r="H34" s="14">
        <f>IF(A34&lt;&gt;"",A34&amp;"|"&amp;B34&amp;"|"&amp;C34,"")</f>
        <v/>
      </c>
      <c r="I34" s="14">
        <f>E34</f>
        <v/>
      </c>
    </row>
    <row r="35">
      <c r="H35" s="14">
        <f>IF(A35&lt;&gt;"",A35&amp;"|"&amp;B35&amp;"|"&amp;C35,"")</f>
        <v/>
      </c>
      <c r="I35" s="14">
        <f>E35</f>
        <v/>
      </c>
    </row>
    <row r="36">
      <c r="H36" s="14">
        <f>IF(A36&lt;&gt;"",A36&amp;"|"&amp;B36&amp;"|"&amp;C36,"")</f>
        <v/>
      </c>
      <c r="I36" s="14">
        <f>E36</f>
        <v/>
      </c>
    </row>
    <row r="37">
      <c r="H37" s="14">
        <f>IF(A37&lt;&gt;"",A37&amp;"|"&amp;B37&amp;"|"&amp;C37,"")</f>
        <v/>
      </c>
      <c r="I37" s="14">
        <f>E37</f>
        <v/>
      </c>
    </row>
    <row r="38">
      <c r="H38" s="14">
        <f>IF(A38&lt;&gt;"",A38&amp;"|"&amp;B38&amp;"|"&amp;C38,"")</f>
        <v/>
      </c>
      <c r="I38" s="14">
        <f>E38</f>
        <v/>
      </c>
    </row>
    <row r="39">
      <c r="H39" s="14">
        <f>IF(A39&lt;&gt;"",A39&amp;"|"&amp;B39&amp;"|"&amp;C39,"")</f>
        <v/>
      </c>
      <c r="I39" s="14">
        <f>E39</f>
        <v/>
      </c>
    </row>
    <row r="40">
      <c r="H40" s="14">
        <f>IF(A40&lt;&gt;"",A40&amp;"|"&amp;B40&amp;"|"&amp;C40,"")</f>
        <v/>
      </c>
      <c r="I40" s="14">
        <f>E40</f>
        <v/>
      </c>
    </row>
    <row r="41">
      <c r="H41" s="14">
        <f>IF(A41&lt;&gt;"",A41&amp;"|"&amp;B41&amp;"|"&amp;C41,"")</f>
        <v/>
      </c>
      <c r="I41" s="14">
        <f>E41</f>
        <v/>
      </c>
    </row>
    <row r="42">
      <c r="H42" s="14">
        <f>IF(A42&lt;&gt;"",A42&amp;"|"&amp;B42&amp;"|"&amp;C42,"")</f>
        <v/>
      </c>
      <c r="I42" s="14">
        <f>E42</f>
        <v/>
      </c>
    </row>
    <row r="43">
      <c r="H43" s="14">
        <f>IF(A43&lt;&gt;"",A43&amp;"|"&amp;B43&amp;"|"&amp;C43,"")</f>
        <v/>
      </c>
      <c r="I43" s="14">
        <f>E43</f>
        <v/>
      </c>
    </row>
    <row r="44">
      <c r="H44" s="14">
        <f>IF(A44&lt;&gt;"",A44&amp;"|"&amp;B44&amp;"|"&amp;C44,"")</f>
        <v/>
      </c>
      <c r="I44" s="14">
        <f>E44</f>
        <v/>
      </c>
    </row>
    <row r="45">
      <c r="H45" s="14">
        <f>IF(A45&lt;&gt;"",A45&amp;"|"&amp;B45&amp;"|"&amp;C45,"")</f>
        <v/>
      </c>
      <c r="I45" s="14">
        <f>E45</f>
        <v/>
      </c>
    </row>
    <row r="46">
      <c r="H46" s="14">
        <f>IF(A46&lt;&gt;"",A46&amp;"|"&amp;B46&amp;"|"&amp;C46,"")</f>
        <v/>
      </c>
      <c r="I46" s="14">
        <f>E46</f>
        <v/>
      </c>
    </row>
    <row r="47">
      <c r="H47" s="14">
        <f>IF(A47&lt;&gt;"",A47&amp;"|"&amp;B47&amp;"|"&amp;C47,"")</f>
        <v/>
      </c>
      <c r="I47" s="14">
        <f>E47</f>
        <v/>
      </c>
    </row>
    <row r="48">
      <c r="H48" s="14">
        <f>IF(A48&lt;&gt;"",A48&amp;"|"&amp;B48&amp;"|"&amp;C48,"")</f>
        <v/>
      </c>
      <c r="I48" s="14">
        <f>E48</f>
        <v/>
      </c>
    </row>
    <row r="49">
      <c r="H49" s="14">
        <f>IF(A49&lt;&gt;"",A49&amp;"|"&amp;B49&amp;"|"&amp;C49,"")</f>
        <v/>
      </c>
      <c r="I49" s="14">
        <f>E49</f>
        <v/>
      </c>
    </row>
    <row r="50">
      <c r="H50" s="14">
        <f>IF(A50&lt;&gt;"",A50&amp;"|"&amp;B50&amp;"|"&amp;C50,"")</f>
        <v/>
      </c>
      <c r="I50" s="14">
        <f>E50</f>
        <v/>
      </c>
    </row>
    <row r="51">
      <c r="H51" s="14">
        <f>IF(A51&lt;&gt;"",A51&amp;"|"&amp;B51&amp;"|"&amp;C51,"")</f>
        <v/>
      </c>
      <c r="I51" s="14">
        <f>E51</f>
        <v/>
      </c>
    </row>
    <row r="52">
      <c r="H52" s="14">
        <f>IF(A52&lt;&gt;"",A52&amp;"|"&amp;B52&amp;"|"&amp;C52,"")</f>
        <v/>
      </c>
      <c r="I52" s="14">
        <f>E52</f>
        <v/>
      </c>
    </row>
    <row r="53">
      <c r="H53" s="14">
        <f>IF(A53&lt;&gt;"",A53&amp;"|"&amp;B53&amp;"|"&amp;C53,"")</f>
        <v/>
      </c>
      <c r="I53" s="14">
        <f>E53</f>
        <v/>
      </c>
    </row>
    <row r="54">
      <c r="H54" s="14">
        <f>IF(A54&lt;&gt;"",A54&amp;"|"&amp;B54&amp;"|"&amp;C54,"")</f>
        <v/>
      </c>
      <c r="I54" s="14">
        <f>E54</f>
        <v/>
      </c>
    </row>
    <row r="55">
      <c r="H55" s="14">
        <f>IF(A55&lt;&gt;"",A55&amp;"|"&amp;B55&amp;"|"&amp;C55,"")</f>
        <v/>
      </c>
      <c r="I55" s="14">
        <f>E55</f>
        <v/>
      </c>
    </row>
    <row r="56">
      <c r="H56" s="14">
        <f>IF(A56&lt;&gt;"",A56&amp;"|"&amp;B56&amp;"|"&amp;C56,"")</f>
        <v/>
      </c>
      <c r="I56" s="14">
        <f>E56</f>
        <v/>
      </c>
    </row>
    <row r="57">
      <c r="H57" s="14">
        <f>IF(A57&lt;&gt;"",A57&amp;"|"&amp;B57&amp;"|"&amp;C57,"")</f>
        <v/>
      </c>
      <c r="I57" s="14">
        <f>E57</f>
        <v/>
      </c>
    </row>
    <row r="58">
      <c r="H58" s="14">
        <f>IF(A58&lt;&gt;"",A58&amp;"|"&amp;B58&amp;"|"&amp;C58,"")</f>
        <v/>
      </c>
      <c r="I58" s="14">
        <f>E58</f>
        <v/>
      </c>
    </row>
    <row r="59">
      <c r="H59" s="14">
        <f>IF(A59&lt;&gt;"",A59&amp;"|"&amp;B59&amp;"|"&amp;C59,"")</f>
        <v/>
      </c>
      <c r="I59" s="14">
        <f>E59</f>
        <v/>
      </c>
    </row>
    <row r="60">
      <c r="H60" s="14">
        <f>IF(A60&lt;&gt;"",A60&amp;"|"&amp;B60&amp;"|"&amp;C60,"")</f>
        <v/>
      </c>
      <c r="I60" s="14">
        <f>E60</f>
        <v/>
      </c>
    </row>
    <row r="61">
      <c r="H61" s="14">
        <f>IF(A61&lt;&gt;"",A61&amp;"|"&amp;B61&amp;"|"&amp;C61,"")</f>
        <v/>
      </c>
      <c r="I61" s="14">
        <f>E61</f>
        <v/>
      </c>
    </row>
    <row r="62">
      <c r="H62" s="14">
        <f>IF(A62&lt;&gt;"",A62&amp;"|"&amp;B62&amp;"|"&amp;C62,"")</f>
        <v/>
      </c>
      <c r="I62" s="14">
        <f>E62</f>
        <v/>
      </c>
    </row>
    <row r="63">
      <c r="H63" s="14">
        <f>IF(A63&lt;&gt;"",A63&amp;"|"&amp;B63&amp;"|"&amp;C63,"")</f>
        <v/>
      </c>
      <c r="I63" s="14">
        <f>E63</f>
        <v/>
      </c>
    </row>
    <row r="64">
      <c r="H64" s="14">
        <f>IF(A64&lt;&gt;"",A64&amp;"|"&amp;B64&amp;"|"&amp;C64,"")</f>
        <v/>
      </c>
      <c r="I64" s="14">
        <f>E64</f>
        <v/>
      </c>
    </row>
    <row r="65">
      <c r="H65" s="14">
        <f>IF(A65&lt;&gt;"",A65&amp;"|"&amp;B65&amp;"|"&amp;C65,"")</f>
        <v/>
      </c>
      <c r="I65" s="14">
        <f>E65</f>
        <v/>
      </c>
    </row>
    <row r="66">
      <c r="H66" s="14">
        <f>IF(A66&lt;&gt;"",A66&amp;"|"&amp;B66&amp;"|"&amp;C66,"")</f>
        <v/>
      </c>
      <c r="I66" s="14">
        <f>E66</f>
        <v/>
      </c>
    </row>
    <row r="67">
      <c r="H67" s="14">
        <f>IF(A67&lt;&gt;"",A67&amp;"|"&amp;B67&amp;"|"&amp;C67,"")</f>
        <v/>
      </c>
      <c r="I67" s="14">
        <f>E67</f>
        <v/>
      </c>
    </row>
    <row r="68">
      <c r="H68" s="14">
        <f>IF(A68&lt;&gt;"",A68&amp;"|"&amp;B68&amp;"|"&amp;C68,"")</f>
        <v/>
      </c>
      <c r="I68" s="14">
        <f>E68</f>
        <v/>
      </c>
    </row>
    <row r="69">
      <c r="H69" s="14">
        <f>IF(A69&lt;&gt;"",A69&amp;"|"&amp;B69&amp;"|"&amp;C69,"")</f>
        <v/>
      </c>
      <c r="I69" s="14">
        <f>E69</f>
        <v/>
      </c>
    </row>
    <row r="70">
      <c r="H70" s="14">
        <f>IF(A70&lt;&gt;"",A70&amp;"|"&amp;B70&amp;"|"&amp;C70,"")</f>
        <v/>
      </c>
      <c r="I70" s="14">
        <f>E70</f>
        <v/>
      </c>
    </row>
    <row r="71">
      <c r="H71" s="14">
        <f>IF(A71&lt;&gt;"",A71&amp;"|"&amp;B71&amp;"|"&amp;C71,"")</f>
        <v/>
      </c>
      <c r="I71" s="14">
        <f>E71</f>
        <v/>
      </c>
    </row>
    <row r="72">
      <c r="H72" s="14">
        <f>IF(A72&lt;&gt;"",A72&amp;"|"&amp;B72&amp;"|"&amp;C72,"")</f>
        <v/>
      </c>
      <c r="I72" s="14">
        <f>E72</f>
        <v/>
      </c>
    </row>
    <row r="73">
      <c r="H73" s="14">
        <f>IF(A73&lt;&gt;"",A73&amp;"|"&amp;B73&amp;"|"&amp;C73,"")</f>
        <v/>
      </c>
      <c r="I73" s="14">
        <f>E73</f>
        <v/>
      </c>
    </row>
    <row r="74">
      <c r="H74" s="14">
        <f>IF(A74&lt;&gt;"",A74&amp;"|"&amp;B74&amp;"|"&amp;C74,"")</f>
        <v/>
      </c>
      <c r="I74" s="14">
        <f>E74</f>
        <v/>
      </c>
    </row>
    <row r="75">
      <c r="H75" s="14">
        <f>IF(A75&lt;&gt;"",A75&amp;"|"&amp;B75&amp;"|"&amp;C75,"")</f>
        <v/>
      </c>
      <c r="I75" s="14">
        <f>E75</f>
        <v/>
      </c>
    </row>
    <row r="76">
      <c r="H76" s="14">
        <f>IF(A76&lt;&gt;"",A76&amp;"|"&amp;B76&amp;"|"&amp;C76,"")</f>
        <v/>
      </c>
      <c r="I76" s="14">
        <f>E76</f>
        <v/>
      </c>
    </row>
    <row r="77">
      <c r="H77" s="14">
        <f>IF(A77&lt;&gt;"",A77&amp;"|"&amp;B77&amp;"|"&amp;C77,"")</f>
        <v/>
      </c>
      <c r="I77" s="14">
        <f>E77</f>
        <v/>
      </c>
    </row>
    <row r="78">
      <c r="H78" s="14">
        <f>IF(A78&lt;&gt;"",A78&amp;"|"&amp;B78&amp;"|"&amp;C78,"")</f>
        <v/>
      </c>
      <c r="I78" s="14">
        <f>E78</f>
        <v/>
      </c>
    </row>
    <row r="79">
      <c r="H79" s="14">
        <f>IF(A79&lt;&gt;"",A79&amp;"|"&amp;B79&amp;"|"&amp;C79,"")</f>
        <v/>
      </c>
      <c r="I79" s="14">
        <f>E79</f>
        <v/>
      </c>
    </row>
    <row r="80">
      <c r="H80" s="14">
        <f>IF(A80&lt;&gt;"",A80&amp;"|"&amp;B80&amp;"|"&amp;C80,"")</f>
        <v/>
      </c>
      <c r="I80" s="14">
        <f>E80</f>
        <v/>
      </c>
    </row>
    <row r="81">
      <c r="H81" s="14">
        <f>IF(A81&lt;&gt;"",A81&amp;"|"&amp;B81&amp;"|"&amp;C81,"")</f>
        <v/>
      </c>
      <c r="I81" s="14">
        <f>E81</f>
        <v/>
      </c>
    </row>
    <row r="82">
      <c r="H82" s="14">
        <f>IF(A82&lt;&gt;"",A82&amp;"|"&amp;B82&amp;"|"&amp;C82,"")</f>
        <v/>
      </c>
      <c r="I82" s="14">
        <f>E82</f>
        <v/>
      </c>
    </row>
    <row r="83">
      <c r="H83" s="14">
        <f>IF(A83&lt;&gt;"",A83&amp;"|"&amp;B83&amp;"|"&amp;C83,"")</f>
        <v/>
      </c>
      <c r="I83" s="14">
        <f>E83</f>
        <v/>
      </c>
    </row>
    <row r="84">
      <c r="H84" s="14">
        <f>IF(A84&lt;&gt;"",A84&amp;"|"&amp;B84&amp;"|"&amp;C84,"")</f>
        <v/>
      </c>
      <c r="I84" s="14">
        <f>E84</f>
        <v/>
      </c>
    </row>
    <row r="85">
      <c r="H85" s="14">
        <f>IF(A85&lt;&gt;"",A85&amp;"|"&amp;B85&amp;"|"&amp;C85,"")</f>
        <v/>
      </c>
      <c r="I85" s="14">
        <f>E85</f>
        <v/>
      </c>
    </row>
    <row r="86">
      <c r="H86" s="14">
        <f>IF(A86&lt;&gt;"",A86&amp;"|"&amp;B86&amp;"|"&amp;C86,"")</f>
        <v/>
      </c>
      <c r="I86" s="14">
        <f>E86</f>
        <v/>
      </c>
    </row>
    <row r="87">
      <c r="H87" s="14">
        <f>IF(A87&lt;&gt;"",A87&amp;"|"&amp;B87&amp;"|"&amp;C87,"")</f>
        <v/>
      </c>
      <c r="I87" s="14">
        <f>E87</f>
        <v/>
      </c>
    </row>
    <row r="88">
      <c r="H88" s="14">
        <f>IF(A88&lt;&gt;"",A88&amp;"|"&amp;B88&amp;"|"&amp;C88,"")</f>
        <v/>
      </c>
      <c r="I88" s="14">
        <f>E88</f>
        <v/>
      </c>
    </row>
    <row r="89">
      <c r="H89" s="14">
        <f>IF(A89&lt;&gt;"",A89&amp;"|"&amp;B89&amp;"|"&amp;C89,"")</f>
        <v/>
      </c>
      <c r="I89" s="14">
        <f>E89</f>
        <v/>
      </c>
    </row>
    <row r="90">
      <c r="H90" s="14">
        <f>IF(A90&lt;&gt;"",A90&amp;"|"&amp;B90&amp;"|"&amp;C90,"")</f>
        <v/>
      </c>
      <c r="I90" s="14">
        <f>E90</f>
        <v/>
      </c>
    </row>
    <row r="91">
      <c r="H91" s="14">
        <f>IF(A91&lt;&gt;"",A91&amp;"|"&amp;B91&amp;"|"&amp;C91,"")</f>
        <v/>
      </c>
      <c r="I91" s="14">
        <f>E91</f>
        <v/>
      </c>
    </row>
    <row r="92">
      <c r="H92" s="14">
        <f>IF(A92&lt;&gt;"",A92&amp;"|"&amp;B92&amp;"|"&amp;C92,"")</f>
        <v/>
      </c>
      <c r="I92" s="14">
        <f>E92</f>
        <v/>
      </c>
    </row>
    <row r="93">
      <c r="H93" s="14">
        <f>IF(A93&lt;&gt;"",A93&amp;"|"&amp;B93&amp;"|"&amp;C93,"")</f>
        <v/>
      </c>
      <c r="I93" s="14">
        <f>E93</f>
        <v/>
      </c>
    </row>
    <row r="94">
      <c r="H94" s="14">
        <f>IF(A94&lt;&gt;"",A94&amp;"|"&amp;B94&amp;"|"&amp;C94,"")</f>
        <v/>
      </c>
      <c r="I94" s="14">
        <f>E94</f>
        <v/>
      </c>
    </row>
    <row r="95">
      <c r="H95" s="14">
        <f>IF(A95&lt;&gt;"",A95&amp;"|"&amp;B95&amp;"|"&amp;C95,"")</f>
        <v/>
      </c>
      <c r="I95" s="14">
        <f>E95</f>
        <v/>
      </c>
    </row>
    <row r="96">
      <c r="H96" s="14">
        <f>IF(A96&lt;&gt;"",A96&amp;"|"&amp;B96&amp;"|"&amp;C96,"")</f>
        <v/>
      </c>
      <c r="I96" s="14">
        <f>E96</f>
        <v/>
      </c>
    </row>
    <row r="97">
      <c r="H97" s="14">
        <f>IF(A97&lt;&gt;"",A97&amp;"|"&amp;B97&amp;"|"&amp;C97,"")</f>
        <v/>
      </c>
      <c r="I97" s="14">
        <f>E97</f>
        <v/>
      </c>
    </row>
    <row r="98">
      <c r="H98" s="14">
        <f>IF(A98&lt;&gt;"",A98&amp;"|"&amp;B98&amp;"|"&amp;C98,"")</f>
        <v/>
      </c>
      <c r="I98" s="14">
        <f>E98</f>
        <v/>
      </c>
    </row>
    <row r="99">
      <c r="H99" s="14">
        <f>IF(A99&lt;&gt;"",A99&amp;"|"&amp;B99&amp;"|"&amp;C99,"")</f>
        <v/>
      </c>
      <c r="I99" s="14">
        <f>E99</f>
        <v/>
      </c>
    </row>
    <row r="100">
      <c r="H100" s="14">
        <f>IF(A100&lt;&gt;"",A100&amp;"|"&amp;B100&amp;"|"&amp;C100,"")</f>
        <v/>
      </c>
      <c r="I100" s="14">
        <f>E100</f>
        <v/>
      </c>
    </row>
    <row r="101">
      <c r="H101" s="14">
        <f>IF(A101&lt;&gt;"",A101&amp;"|"&amp;B101&amp;"|"&amp;C101,"")</f>
        <v/>
      </c>
      <c r="I101" s="14">
        <f>E101</f>
        <v/>
      </c>
    </row>
    <row r="102">
      <c r="H102" s="14">
        <f>IF(A102&lt;&gt;"",A102&amp;"|"&amp;B102&amp;"|"&amp;C102,"")</f>
        <v/>
      </c>
      <c r="I102" s="14">
        <f>E102</f>
        <v/>
      </c>
    </row>
    <row r="103">
      <c r="H103" s="14">
        <f>IF(A103&lt;&gt;"",A103&amp;"|"&amp;B103&amp;"|"&amp;C103,"")</f>
        <v/>
      </c>
      <c r="I103" s="14">
        <f>E103</f>
        <v/>
      </c>
    </row>
    <row r="104">
      <c r="H104" s="14">
        <f>IF(A104&lt;&gt;"",A104&amp;"|"&amp;B104&amp;"|"&amp;C104,"")</f>
        <v/>
      </c>
      <c r="I104" s="14">
        <f>E104</f>
        <v/>
      </c>
    </row>
    <row r="105">
      <c r="H105" s="14">
        <f>IF(A105&lt;&gt;"",A105&amp;"|"&amp;B105&amp;"|"&amp;C105,"")</f>
        <v/>
      </c>
      <c r="I105" s="14">
        <f>E105</f>
        <v/>
      </c>
    </row>
    <row r="106">
      <c r="H106" s="14">
        <f>IF(A106&lt;&gt;"",A106&amp;"|"&amp;B106&amp;"|"&amp;C106,"")</f>
        <v/>
      </c>
      <c r="I106" s="14">
        <f>E106</f>
        <v/>
      </c>
    </row>
    <row r="107">
      <c r="H107" s="14">
        <f>IF(A107&lt;&gt;"",A107&amp;"|"&amp;B107&amp;"|"&amp;C107,"")</f>
        <v/>
      </c>
      <c r="I107" s="14">
        <f>E107</f>
        <v/>
      </c>
    </row>
    <row r="108">
      <c r="H108" s="14">
        <f>IF(A108&lt;&gt;"",A108&amp;"|"&amp;B108&amp;"|"&amp;C108,"")</f>
        <v/>
      </c>
      <c r="I108" s="14">
        <f>E108</f>
        <v/>
      </c>
    </row>
    <row r="109">
      <c r="H109" s="14">
        <f>IF(A109&lt;&gt;"",A109&amp;"|"&amp;B109&amp;"|"&amp;C109,"")</f>
        <v/>
      </c>
      <c r="I109" s="14">
        <f>E109</f>
        <v/>
      </c>
    </row>
    <row r="110">
      <c r="H110" s="14">
        <f>IF(A110&lt;&gt;"",A110&amp;"|"&amp;B110&amp;"|"&amp;C110,"")</f>
        <v/>
      </c>
      <c r="I110" s="14">
        <f>E110</f>
        <v/>
      </c>
    </row>
    <row r="111">
      <c r="H111" s="14">
        <f>IF(A111&lt;&gt;"",A111&amp;"|"&amp;B111&amp;"|"&amp;C111,"")</f>
        <v/>
      </c>
      <c r="I111" s="14">
        <f>E111</f>
        <v/>
      </c>
    </row>
    <row r="112">
      <c r="H112" s="14">
        <f>IF(A112&lt;&gt;"",A112&amp;"|"&amp;B112&amp;"|"&amp;C112,"")</f>
        <v/>
      </c>
      <c r="I112" s="14">
        <f>E112</f>
        <v/>
      </c>
    </row>
    <row r="113">
      <c r="H113" s="14">
        <f>IF(A113&lt;&gt;"",A113&amp;"|"&amp;B113&amp;"|"&amp;C113,"")</f>
        <v/>
      </c>
      <c r="I113" s="14">
        <f>E113</f>
        <v/>
      </c>
    </row>
    <row r="114">
      <c r="H114" s="14">
        <f>IF(A114&lt;&gt;"",A114&amp;"|"&amp;B114&amp;"|"&amp;C114,"")</f>
        <v/>
      </c>
      <c r="I114" s="14">
        <f>E114</f>
        <v/>
      </c>
    </row>
    <row r="115">
      <c r="H115" s="14">
        <f>IF(A115&lt;&gt;"",A115&amp;"|"&amp;B115&amp;"|"&amp;C115,"")</f>
        <v/>
      </c>
      <c r="I115" s="14">
        <f>E115</f>
        <v/>
      </c>
    </row>
    <row r="116">
      <c r="H116" s="14">
        <f>IF(A116&lt;&gt;"",A116&amp;"|"&amp;B116&amp;"|"&amp;C116,"")</f>
        <v/>
      </c>
      <c r="I116" s="14">
        <f>E116</f>
        <v/>
      </c>
    </row>
    <row r="117">
      <c r="H117" s="14">
        <f>IF(A117&lt;&gt;"",A117&amp;"|"&amp;B117&amp;"|"&amp;C117,"")</f>
        <v/>
      </c>
      <c r="I117" s="14">
        <f>E117</f>
        <v/>
      </c>
    </row>
    <row r="118">
      <c r="H118" s="14">
        <f>IF(A118&lt;&gt;"",A118&amp;"|"&amp;B118&amp;"|"&amp;C118,"")</f>
        <v/>
      </c>
      <c r="I118" s="14">
        <f>E118</f>
        <v/>
      </c>
    </row>
    <row r="119">
      <c r="H119" s="14">
        <f>IF(A119&lt;&gt;"",A119&amp;"|"&amp;B119&amp;"|"&amp;C119,"")</f>
        <v/>
      </c>
      <c r="I119" s="14">
        <f>E119</f>
        <v/>
      </c>
    </row>
    <row r="120">
      <c r="H120" s="14">
        <f>IF(A120&lt;&gt;"",A120&amp;"|"&amp;B120&amp;"|"&amp;C120,"")</f>
        <v/>
      </c>
      <c r="I120" s="14">
        <f>E120</f>
        <v/>
      </c>
    </row>
    <row r="121">
      <c r="H121" s="14">
        <f>IF(A121&lt;&gt;"",A121&amp;"|"&amp;B121&amp;"|"&amp;C121,"")</f>
        <v/>
      </c>
      <c r="I121" s="14">
        <f>E121</f>
        <v/>
      </c>
    </row>
    <row r="122">
      <c r="H122" s="14">
        <f>IF(A122&lt;&gt;"",A122&amp;"|"&amp;B122&amp;"|"&amp;C122,"")</f>
        <v/>
      </c>
      <c r="I122" s="14">
        <f>E122</f>
        <v/>
      </c>
    </row>
    <row r="123">
      <c r="H123" s="14">
        <f>IF(A123&lt;&gt;"",A123&amp;"|"&amp;B123&amp;"|"&amp;C123,"")</f>
        <v/>
      </c>
      <c r="I123" s="14">
        <f>E123</f>
        <v/>
      </c>
    </row>
    <row r="124">
      <c r="H124" s="14">
        <f>IF(A124&lt;&gt;"",A124&amp;"|"&amp;B124&amp;"|"&amp;C124,"")</f>
        <v/>
      </c>
      <c r="I124" s="14">
        <f>E124</f>
        <v/>
      </c>
    </row>
    <row r="125">
      <c r="H125" s="14">
        <f>IF(A125&lt;&gt;"",A125&amp;"|"&amp;B125&amp;"|"&amp;C125,"")</f>
        <v/>
      </c>
      <c r="I125" s="14">
        <f>E125</f>
        <v/>
      </c>
    </row>
    <row r="126">
      <c r="H126" s="14">
        <f>IF(A126&lt;&gt;"",A126&amp;"|"&amp;B126&amp;"|"&amp;C126,"")</f>
        <v/>
      </c>
      <c r="I126" s="14">
        <f>E126</f>
        <v/>
      </c>
    </row>
    <row r="127">
      <c r="H127" s="14">
        <f>IF(A127&lt;&gt;"",A127&amp;"|"&amp;B127&amp;"|"&amp;C127,"")</f>
        <v/>
      </c>
      <c r="I127" s="14">
        <f>E127</f>
        <v/>
      </c>
    </row>
    <row r="128">
      <c r="H128" s="14">
        <f>IF(A128&lt;&gt;"",A128&amp;"|"&amp;B128&amp;"|"&amp;C128,"")</f>
        <v/>
      </c>
      <c r="I128" s="14">
        <f>E128</f>
        <v/>
      </c>
    </row>
    <row r="129">
      <c r="H129" s="14">
        <f>IF(A129&lt;&gt;"",A129&amp;"|"&amp;B129&amp;"|"&amp;C129,"")</f>
        <v/>
      </c>
      <c r="I129" s="14">
        <f>E129</f>
        <v/>
      </c>
    </row>
    <row r="130">
      <c r="H130" s="14">
        <f>IF(A130&lt;&gt;"",A130&amp;"|"&amp;B130&amp;"|"&amp;C130,"")</f>
        <v/>
      </c>
      <c r="I130" s="14">
        <f>E130</f>
        <v/>
      </c>
    </row>
    <row r="131">
      <c r="H131" s="14">
        <f>IF(A131&lt;&gt;"",A131&amp;"|"&amp;B131&amp;"|"&amp;C131,"")</f>
        <v/>
      </c>
      <c r="I131" s="14">
        <f>E131</f>
        <v/>
      </c>
    </row>
    <row r="132">
      <c r="H132" s="14">
        <f>IF(A132&lt;&gt;"",A132&amp;"|"&amp;B132&amp;"|"&amp;C132,"")</f>
        <v/>
      </c>
      <c r="I132" s="14">
        <f>E132</f>
        <v/>
      </c>
    </row>
    <row r="133">
      <c r="H133" s="14">
        <f>IF(A133&lt;&gt;"",A133&amp;"|"&amp;B133&amp;"|"&amp;C133,"")</f>
        <v/>
      </c>
      <c r="I133" s="14">
        <f>E133</f>
        <v/>
      </c>
    </row>
    <row r="134">
      <c r="H134" s="14">
        <f>IF(A134&lt;&gt;"",A134&amp;"|"&amp;B134&amp;"|"&amp;C134,"")</f>
        <v/>
      </c>
      <c r="I134" s="14">
        <f>E134</f>
        <v/>
      </c>
    </row>
    <row r="135">
      <c r="H135" s="14">
        <f>IF(A135&lt;&gt;"",A135&amp;"|"&amp;B135&amp;"|"&amp;C135,"")</f>
        <v/>
      </c>
      <c r="I135" s="14">
        <f>E135</f>
        <v/>
      </c>
    </row>
    <row r="136">
      <c r="H136" s="14">
        <f>IF(A136&lt;&gt;"",A136&amp;"|"&amp;B136&amp;"|"&amp;C136,"")</f>
        <v/>
      </c>
      <c r="I136" s="14">
        <f>E136</f>
        <v/>
      </c>
    </row>
    <row r="137">
      <c r="H137" s="14">
        <f>IF(A137&lt;&gt;"",A137&amp;"|"&amp;B137&amp;"|"&amp;C137,"")</f>
        <v/>
      </c>
      <c r="I137" s="14">
        <f>E137</f>
        <v/>
      </c>
    </row>
    <row r="138">
      <c r="H138" s="14">
        <f>IF(A138&lt;&gt;"",A138&amp;"|"&amp;B138&amp;"|"&amp;C138,"")</f>
        <v/>
      </c>
      <c r="I138" s="14">
        <f>E138</f>
        <v/>
      </c>
    </row>
    <row r="139">
      <c r="H139" s="14">
        <f>IF(A139&lt;&gt;"",A139&amp;"|"&amp;B139&amp;"|"&amp;C139,"")</f>
        <v/>
      </c>
      <c r="I139" s="14">
        <f>E139</f>
        <v/>
      </c>
    </row>
    <row r="140">
      <c r="H140" s="14">
        <f>IF(A140&lt;&gt;"",A140&amp;"|"&amp;B140&amp;"|"&amp;C140,"")</f>
        <v/>
      </c>
      <c r="I140" s="14">
        <f>E140</f>
        <v/>
      </c>
    </row>
    <row r="141">
      <c r="H141" s="14">
        <f>IF(A141&lt;&gt;"",A141&amp;"|"&amp;B141&amp;"|"&amp;C141,"")</f>
        <v/>
      </c>
      <c r="I141" s="14">
        <f>E141</f>
        <v/>
      </c>
    </row>
    <row r="142">
      <c r="H142" s="14">
        <f>IF(A142&lt;&gt;"",A142&amp;"|"&amp;B142&amp;"|"&amp;C142,"")</f>
        <v/>
      </c>
      <c r="I142" s="14">
        <f>E142</f>
        <v/>
      </c>
    </row>
    <row r="143">
      <c r="H143" s="14">
        <f>IF(A143&lt;&gt;"",A143&amp;"|"&amp;B143&amp;"|"&amp;C143,"")</f>
        <v/>
      </c>
      <c r="I143" s="14">
        <f>E143</f>
        <v/>
      </c>
    </row>
    <row r="144">
      <c r="H144" s="14">
        <f>IF(A144&lt;&gt;"",A144&amp;"|"&amp;B144&amp;"|"&amp;C144,"")</f>
        <v/>
      </c>
      <c r="I144" s="14">
        <f>E144</f>
        <v/>
      </c>
    </row>
    <row r="145">
      <c r="H145" s="14">
        <f>IF(A145&lt;&gt;"",A145&amp;"|"&amp;B145&amp;"|"&amp;C145,"")</f>
        <v/>
      </c>
      <c r="I145" s="14">
        <f>E145</f>
        <v/>
      </c>
    </row>
    <row r="146">
      <c r="H146" s="14">
        <f>IF(A146&lt;&gt;"",A146&amp;"|"&amp;B146&amp;"|"&amp;C146,"")</f>
        <v/>
      </c>
      <c r="I146" s="14">
        <f>E146</f>
        <v/>
      </c>
    </row>
    <row r="147">
      <c r="H147" s="14">
        <f>IF(A147&lt;&gt;"",A147&amp;"|"&amp;B147&amp;"|"&amp;C147,"")</f>
        <v/>
      </c>
      <c r="I147" s="14">
        <f>E147</f>
        <v/>
      </c>
    </row>
    <row r="148">
      <c r="H148" s="14">
        <f>IF(A148&lt;&gt;"",A148&amp;"|"&amp;B148&amp;"|"&amp;C148,"")</f>
        <v/>
      </c>
      <c r="I148" s="14">
        <f>E148</f>
        <v/>
      </c>
    </row>
    <row r="149">
      <c r="H149" s="14">
        <f>IF(A149&lt;&gt;"",A149&amp;"|"&amp;B149&amp;"|"&amp;C149,"")</f>
        <v/>
      </c>
      <c r="I149" s="14">
        <f>E149</f>
        <v/>
      </c>
    </row>
    <row r="150">
      <c r="H150" s="14">
        <f>IF(A150&lt;&gt;"",A150&amp;"|"&amp;B150&amp;"|"&amp;C150,"")</f>
        <v/>
      </c>
      <c r="I150" s="14">
        <f>E150</f>
        <v/>
      </c>
    </row>
    <row r="151">
      <c r="H151" s="14">
        <f>IF(A151&lt;&gt;"",A151&amp;"|"&amp;B151&amp;"|"&amp;C151,"")</f>
        <v/>
      </c>
      <c r="I151" s="14">
        <f>E151</f>
        <v/>
      </c>
    </row>
    <row r="152">
      <c r="H152" s="14">
        <f>IF(A152&lt;&gt;"",A152&amp;"|"&amp;B152&amp;"|"&amp;C152,"")</f>
        <v/>
      </c>
      <c r="I152" s="14">
        <f>E152</f>
        <v/>
      </c>
    </row>
    <row r="153">
      <c r="H153" s="14">
        <f>IF(A153&lt;&gt;"",A153&amp;"|"&amp;B153&amp;"|"&amp;C153,"")</f>
        <v/>
      </c>
      <c r="I153" s="14">
        <f>E153</f>
        <v/>
      </c>
    </row>
    <row r="154">
      <c r="H154" s="14">
        <f>IF(A154&lt;&gt;"",A154&amp;"|"&amp;B154&amp;"|"&amp;C154,"")</f>
        <v/>
      </c>
      <c r="I154" s="14">
        <f>E154</f>
        <v/>
      </c>
    </row>
    <row r="155">
      <c r="H155" s="14">
        <f>IF(A155&lt;&gt;"",A155&amp;"|"&amp;B155&amp;"|"&amp;C155,"")</f>
        <v/>
      </c>
      <c r="I155" s="14">
        <f>E155</f>
        <v/>
      </c>
    </row>
    <row r="156">
      <c r="H156" s="14">
        <f>IF(A156&lt;&gt;"",A156&amp;"|"&amp;B156&amp;"|"&amp;C156,"")</f>
        <v/>
      </c>
      <c r="I156" s="14">
        <f>E156</f>
        <v/>
      </c>
    </row>
    <row r="157">
      <c r="H157" s="14">
        <f>IF(A157&lt;&gt;"",A157&amp;"|"&amp;B157&amp;"|"&amp;C157,"")</f>
        <v/>
      </c>
      <c r="I157" s="14">
        <f>E157</f>
        <v/>
      </c>
    </row>
    <row r="158">
      <c r="H158" s="14">
        <f>IF(A158&lt;&gt;"",A158&amp;"|"&amp;B158&amp;"|"&amp;C158,"")</f>
        <v/>
      </c>
      <c r="I158" s="14">
        <f>E158</f>
        <v/>
      </c>
    </row>
    <row r="159">
      <c r="H159" s="14">
        <f>IF(A159&lt;&gt;"",A159&amp;"|"&amp;B159&amp;"|"&amp;C159,"")</f>
        <v/>
      </c>
      <c r="I159" s="14">
        <f>E159</f>
        <v/>
      </c>
    </row>
    <row r="160">
      <c r="H160" s="14">
        <f>IF(A160&lt;&gt;"",A160&amp;"|"&amp;B160&amp;"|"&amp;C160,"")</f>
        <v/>
      </c>
      <c r="I160" s="14">
        <f>E160</f>
        <v/>
      </c>
    </row>
    <row r="161">
      <c r="H161" s="14">
        <f>IF(A161&lt;&gt;"",A161&amp;"|"&amp;B161&amp;"|"&amp;C161,"")</f>
        <v/>
      </c>
      <c r="I161" s="14">
        <f>E161</f>
        <v/>
      </c>
    </row>
    <row r="162">
      <c r="H162" s="14">
        <f>IF(A162&lt;&gt;"",A162&amp;"|"&amp;B162&amp;"|"&amp;C162,"")</f>
        <v/>
      </c>
      <c r="I162" s="14">
        <f>E162</f>
        <v/>
      </c>
    </row>
    <row r="163">
      <c r="H163" s="14">
        <f>IF(A163&lt;&gt;"",A163&amp;"|"&amp;B163&amp;"|"&amp;C163,"")</f>
        <v/>
      </c>
      <c r="I163" s="14">
        <f>E163</f>
        <v/>
      </c>
    </row>
    <row r="164">
      <c r="H164" s="14">
        <f>IF(A164&lt;&gt;"",A164&amp;"|"&amp;B164&amp;"|"&amp;C164,"")</f>
        <v/>
      </c>
      <c r="I164" s="14">
        <f>E164</f>
        <v/>
      </c>
    </row>
    <row r="165">
      <c r="H165" s="14">
        <f>IF(A165&lt;&gt;"",A165&amp;"|"&amp;B165&amp;"|"&amp;C165,"")</f>
        <v/>
      </c>
      <c r="I165" s="14">
        <f>E165</f>
        <v/>
      </c>
    </row>
    <row r="166">
      <c r="H166" s="14">
        <f>IF(A166&lt;&gt;"",A166&amp;"|"&amp;B166&amp;"|"&amp;C166,"")</f>
        <v/>
      </c>
      <c r="I166" s="14">
        <f>E166</f>
        <v/>
      </c>
    </row>
    <row r="167">
      <c r="H167" s="14">
        <f>IF(A167&lt;&gt;"",A167&amp;"|"&amp;B167&amp;"|"&amp;C167,"")</f>
        <v/>
      </c>
      <c r="I167" s="14">
        <f>E167</f>
        <v/>
      </c>
    </row>
    <row r="168">
      <c r="H168" s="14">
        <f>IF(A168&lt;&gt;"",A168&amp;"|"&amp;B168&amp;"|"&amp;C168,"")</f>
        <v/>
      </c>
      <c r="I168" s="14">
        <f>E168</f>
        <v/>
      </c>
    </row>
    <row r="169">
      <c r="H169" s="14">
        <f>IF(A169&lt;&gt;"",A169&amp;"|"&amp;B169&amp;"|"&amp;C169,"")</f>
        <v/>
      </c>
      <c r="I169" s="14">
        <f>E169</f>
        <v/>
      </c>
    </row>
    <row r="170">
      <c r="H170" s="14">
        <f>IF(A170&lt;&gt;"",A170&amp;"|"&amp;B170&amp;"|"&amp;C170,"")</f>
        <v/>
      </c>
      <c r="I170" s="14">
        <f>E170</f>
        <v/>
      </c>
    </row>
    <row r="171">
      <c r="H171" s="14">
        <f>IF(A171&lt;&gt;"",A171&amp;"|"&amp;B171&amp;"|"&amp;C171,"")</f>
        <v/>
      </c>
      <c r="I171" s="14">
        <f>E171</f>
        <v/>
      </c>
    </row>
    <row r="172">
      <c r="H172" s="14">
        <f>IF(A172&lt;&gt;"",A172&amp;"|"&amp;B172&amp;"|"&amp;C172,"")</f>
        <v/>
      </c>
      <c r="I172" s="14">
        <f>E172</f>
        <v/>
      </c>
    </row>
    <row r="173">
      <c r="H173" s="14">
        <f>IF(A173&lt;&gt;"",A173&amp;"|"&amp;B173&amp;"|"&amp;C173,"")</f>
        <v/>
      </c>
      <c r="I173" s="14">
        <f>E173</f>
        <v/>
      </c>
    </row>
    <row r="174">
      <c r="H174" s="14">
        <f>IF(A174&lt;&gt;"",A174&amp;"|"&amp;B174&amp;"|"&amp;C174,"")</f>
        <v/>
      </c>
      <c r="I174" s="14">
        <f>E174</f>
        <v/>
      </c>
    </row>
    <row r="175">
      <c r="H175" s="14">
        <f>IF(A175&lt;&gt;"",A175&amp;"|"&amp;B175&amp;"|"&amp;C175,"")</f>
        <v/>
      </c>
      <c r="I175" s="14">
        <f>E175</f>
        <v/>
      </c>
    </row>
    <row r="176">
      <c r="H176" s="14">
        <f>IF(A176&lt;&gt;"",A176&amp;"|"&amp;B176&amp;"|"&amp;C176,"")</f>
        <v/>
      </c>
      <c r="I176" s="14">
        <f>E176</f>
        <v/>
      </c>
    </row>
    <row r="177">
      <c r="H177" s="14">
        <f>IF(A177&lt;&gt;"",A177&amp;"|"&amp;B177&amp;"|"&amp;C177,"")</f>
        <v/>
      </c>
      <c r="I177" s="14">
        <f>E177</f>
        <v/>
      </c>
    </row>
    <row r="178">
      <c r="H178" s="14">
        <f>IF(A178&lt;&gt;"",A178&amp;"|"&amp;B178&amp;"|"&amp;C178,"")</f>
        <v/>
      </c>
      <c r="I178" s="14">
        <f>E178</f>
        <v/>
      </c>
    </row>
    <row r="179">
      <c r="H179" s="14">
        <f>IF(A179&lt;&gt;"",A179&amp;"|"&amp;B179&amp;"|"&amp;C179,"")</f>
        <v/>
      </c>
      <c r="I179" s="14">
        <f>E179</f>
        <v/>
      </c>
    </row>
    <row r="180">
      <c r="H180" s="14">
        <f>IF(A180&lt;&gt;"",A180&amp;"|"&amp;B180&amp;"|"&amp;C180,"")</f>
        <v/>
      </c>
      <c r="I180" s="14">
        <f>E180</f>
        <v/>
      </c>
    </row>
    <row r="181">
      <c r="H181" s="14">
        <f>IF(A181&lt;&gt;"",A181&amp;"|"&amp;B181&amp;"|"&amp;C181,"")</f>
        <v/>
      </c>
      <c r="I181" s="14">
        <f>E181</f>
        <v/>
      </c>
    </row>
    <row r="182">
      <c r="H182" s="14">
        <f>IF(A182&lt;&gt;"",A182&amp;"|"&amp;B182&amp;"|"&amp;C182,"")</f>
        <v/>
      </c>
      <c r="I182" s="14">
        <f>E182</f>
        <v/>
      </c>
    </row>
    <row r="183">
      <c r="H183" s="14">
        <f>IF(A183&lt;&gt;"",A183&amp;"|"&amp;B183&amp;"|"&amp;C183,"")</f>
        <v/>
      </c>
      <c r="I183" s="14">
        <f>E183</f>
        <v/>
      </c>
    </row>
    <row r="184">
      <c r="H184" s="14">
        <f>IF(A184&lt;&gt;"",A184&amp;"|"&amp;B184&amp;"|"&amp;C184,"")</f>
        <v/>
      </c>
      <c r="I184" s="14">
        <f>E184</f>
        <v/>
      </c>
    </row>
    <row r="185">
      <c r="H185" s="14">
        <f>IF(A185&lt;&gt;"",A185&amp;"|"&amp;B185&amp;"|"&amp;C185,"")</f>
        <v/>
      </c>
      <c r="I185" s="14">
        <f>E185</f>
        <v/>
      </c>
    </row>
    <row r="186">
      <c r="H186" s="14">
        <f>IF(A186&lt;&gt;"",A186&amp;"|"&amp;B186&amp;"|"&amp;C186,"")</f>
        <v/>
      </c>
      <c r="I186" s="14">
        <f>E186</f>
        <v/>
      </c>
    </row>
    <row r="187">
      <c r="H187" s="14">
        <f>IF(A187&lt;&gt;"",A187&amp;"|"&amp;B187&amp;"|"&amp;C187,"")</f>
        <v/>
      </c>
      <c r="I187" s="14">
        <f>E187</f>
        <v/>
      </c>
    </row>
    <row r="188">
      <c r="H188" s="14">
        <f>IF(A188&lt;&gt;"",A188&amp;"|"&amp;B188&amp;"|"&amp;C188,"")</f>
        <v/>
      </c>
      <c r="I188" s="14">
        <f>E188</f>
        <v/>
      </c>
    </row>
    <row r="189">
      <c r="H189" s="14">
        <f>IF(A189&lt;&gt;"",A189&amp;"|"&amp;B189&amp;"|"&amp;C189,"")</f>
        <v/>
      </c>
      <c r="I189" s="14">
        <f>E189</f>
        <v/>
      </c>
    </row>
    <row r="190">
      <c r="H190" s="14">
        <f>IF(A190&lt;&gt;"",A190&amp;"|"&amp;B190&amp;"|"&amp;C190,"")</f>
        <v/>
      </c>
      <c r="I190" s="14">
        <f>E190</f>
        <v/>
      </c>
    </row>
    <row r="191">
      <c r="H191" s="14">
        <f>IF(A191&lt;&gt;"",A191&amp;"|"&amp;B191&amp;"|"&amp;C191,"")</f>
        <v/>
      </c>
      <c r="I191" s="14">
        <f>E191</f>
        <v/>
      </c>
    </row>
    <row r="192">
      <c r="H192" s="14">
        <f>IF(A192&lt;&gt;"",A192&amp;"|"&amp;B192&amp;"|"&amp;C192,"")</f>
        <v/>
      </c>
      <c r="I192" s="14">
        <f>E192</f>
        <v/>
      </c>
    </row>
    <row r="193">
      <c r="H193" s="14">
        <f>IF(A193&lt;&gt;"",A193&amp;"|"&amp;B193&amp;"|"&amp;C193,"")</f>
        <v/>
      </c>
      <c r="I193" s="14">
        <f>E193</f>
        <v/>
      </c>
    </row>
    <row r="194">
      <c r="H194" s="14">
        <f>IF(A194&lt;&gt;"",A194&amp;"|"&amp;B194&amp;"|"&amp;C194,"")</f>
        <v/>
      </c>
      <c r="I194" s="14">
        <f>E194</f>
        <v/>
      </c>
    </row>
    <row r="195">
      <c r="H195" s="14">
        <f>IF(A195&lt;&gt;"",A195&amp;"|"&amp;B195&amp;"|"&amp;C195,"")</f>
        <v/>
      </c>
      <c r="I195" s="14">
        <f>E195</f>
        <v/>
      </c>
    </row>
    <row r="196">
      <c r="H196" s="14">
        <f>IF(A196&lt;&gt;"",A196&amp;"|"&amp;B196&amp;"|"&amp;C196,"")</f>
        <v/>
      </c>
      <c r="I196" s="14">
        <f>E196</f>
        <v/>
      </c>
    </row>
    <row r="197">
      <c r="H197" s="14">
        <f>IF(A197&lt;&gt;"",A197&amp;"|"&amp;B197&amp;"|"&amp;C197,"")</f>
        <v/>
      </c>
      <c r="I197" s="14">
        <f>E197</f>
        <v/>
      </c>
    </row>
    <row r="198">
      <c r="H198" s="14">
        <f>IF(A198&lt;&gt;"",A198&amp;"|"&amp;B198&amp;"|"&amp;C198,"")</f>
        <v/>
      </c>
      <c r="I198" s="14">
        <f>E198</f>
        <v/>
      </c>
    </row>
    <row r="199">
      <c r="H199" s="14">
        <f>IF(A199&lt;&gt;"",A199&amp;"|"&amp;B199&amp;"|"&amp;C199,"")</f>
        <v/>
      </c>
      <c r="I199" s="14">
        <f>E199</f>
        <v/>
      </c>
    </row>
    <row r="200">
      <c r="H200" s="14">
        <f>IF(A200&lt;&gt;"",A200&amp;"|"&amp;B200&amp;"|"&amp;C200,"")</f>
        <v/>
      </c>
      <c r="I200" s="14">
        <f>E200</f>
        <v/>
      </c>
    </row>
    <row r="201">
      <c r="H201" s="14">
        <f>IF(A201&lt;&gt;"",A201&amp;"|"&amp;B201&amp;"|"&amp;C201,"")</f>
        <v/>
      </c>
      <c r="I201" s="14">
        <f>E201</f>
        <v/>
      </c>
    </row>
    <row r="202">
      <c r="H202" s="14">
        <f>IF(A202&lt;&gt;"",A202&amp;"|"&amp;B202&amp;"|"&amp;C202,"")</f>
        <v/>
      </c>
      <c r="I202" s="14">
        <f>E202</f>
        <v/>
      </c>
    </row>
    <row r="203">
      <c r="H203" s="14">
        <f>IF(A203&lt;&gt;"",A203&amp;"|"&amp;B203&amp;"|"&amp;C203,"")</f>
        <v/>
      </c>
      <c r="I203" s="14">
        <f>E203</f>
        <v/>
      </c>
    </row>
    <row r="204">
      <c r="H204" s="14">
        <f>IF(A204&lt;&gt;"",A204&amp;"|"&amp;B204&amp;"|"&amp;C204,"")</f>
        <v/>
      </c>
      <c r="I204" s="14">
        <f>E204</f>
        <v/>
      </c>
    </row>
    <row r="205">
      <c r="H205" s="14">
        <f>IF(A205&lt;&gt;"",A205&amp;"|"&amp;B205&amp;"|"&amp;C205,"")</f>
        <v/>
      </c>
      <c r="I205" s="14">
        <f>E205</f>
        <v/>
      </c>
    </row>
    <row r="206">
      <c r="H206" s="14">
        <f>IF(A206&lt;&gt;"",A206&amp;"|"&amp;B206&amp;"|"&amp;C206,"")</f>
        <v/>
      </c>
      <c r="I206" s="14">
        <f>E206</f>
        <v/>
      </c>
    </row>
    <row r="207">
      <c r="H207" s="14">
        <f>IF(A207&lt;&gt;"",A207&amp;"|"&amp;B207&amp;"|"&amp;C207,"")</f>
        <v/>
      </c>
      <c r="I207" s="14">
        <f>E207</f>
        <v/>
      </c>
    </row>
    <row r="208">
      <c r="H208" s="14">
        <f>IF(A208&lt;&gt;"",A208&amp;"|"&amp;B208&amp;"|"&amp;C208,"")</f>
        <v/>
      </c>
      <c r="I208" s="14">
        <f>E208</f>
        <v/>
      </c>
    </row>
    <row r="209">
      <c r="H209" s="14">
        <f>IF(A209&lt;&gt;"",A209&amp;"|"&amp;B209&amp;"|"&amp;C209,"")</f>
        <v/>
      </c>
      <c r="I209" s="14">
        <f>E209</f>
        <v/>
      </c>
    </row>
    <row r="210">
      <c r="H210" s="14">
        <f>IF(A210&lt;&gt;"",A210&amp;"|"&amp;B210&amp;"|"&amp;C210,"")</f>
        <v/>
      </c>
      <c r="I210" s="14">
        <f>E210</f>
        <v/>
      </c>
    </row>
    <row r="211">
      <c r="H211" s="14">
        <f>IF(A211&lt;&gt;"",A211&amp;"|"&amp;B211&amp;"|"&amp;C211,"")</f>
        <v/>
      </c>
      <c r="I211" s="14">
        <f>E211</f>
        <v/>
      </c>
    </row>
    <row r="212">
      <c r="H212" s="14">
        <f>IF(A212&lt;&gt;"",A212&amp;"|"&amp;B212&amp;"|"&amp;C212,"")</f>
        <v/>
      </c>
      <c r="I212" s="14">
        <f>E212</f>
        <v/>
      </c>
    </row>
    <row r="213">
      <c r="H213" s="14">
        <f>IF(A213&lt;&gt;"",A213&amp;"|"&amp;B213&amp;"|"&amp;C213,"")</f>
        <v/>
      </c>
      <c r="I213" s="14">
        <f>E213</f>
        <v/>
      </c>
    </row>
    <row r="214">
      <c r="H214" s="14">
        <f>IF(A214&lt;&gt;"",A214&amp;"|"&amp;B214&amp;"|"&amp;C214,"")</f>
        <v/>
      </c>
      <c r="I214" s="14">
        <f>E214</f>
        <v/>
      </c>
    </row>
    <row r="215">
      <c r="H215" s="14">
        <f>IF(A215&lt;&gt;"",A215&amp;"|"&amp;B215&amp;"|"&amp;C215,"")</f>
        <v/>
      </c>
      <c r="I215" s="14">
        <f>E215</f>
        <v/>
      </c>
    </row>
    <row r="216">
      <c r="H216" s="14">
        <f>IF(A216&lt;&gt;"",A216&amp;"|"&amp;B216&amp;"|"&amp;C216,"")</f>
        <v/>
      </c>
      <c r="I216" s="14">
        <f>E216</f>
        <v/>
      </c>
    </row>
    <row r="217">
      <c r="H217" s="14">
        <f>IF(A217&lt;&gt;"",A217&amp;"|"&amp;B217&amp;"|"&amp;C217,"")</f>
        <v/>
      </c>
      <c r="I217" s="14">
        <f>E217</f>
        <v/>
      </c>
    </row>
    <row r="218">
      <c r="H218" s="14">
        <f>IF(A218&lt;&gt;"",A218&amp;"|"&amp;B218&amp;"|"&amp;C218,"")</f>
        <v/>
      </c>
      <c r="I218" s="14">
        <f>E218</f>
        <v/>
      </c>
    </row>
    <row r="219">
      <c r="H219" s="14">
        <f>IF(A219&lt;&gt;"",A219&amp;"|"&amp;B219&amp;"|"&amp;C219,"")</f>
        <v/>
      </c>
      <c r="I219" s="14">
        <f>E219</f>
        <v/>
      </c>
    </row>
    <row r="220">
      <c r="H220" s="14">
        <f>IF(A220&lt;&gt;"",A220&amp;"|"&amp;B220&amp;"|"&amp;C220,"")</f>
        <v/>
      </c>
      <c r="I220" s="14">
        <f>E220</f>
        <v/>
      </c>
    </row>
    <row r="221">
      <c r="H221" s="14">
        <f>IF(A221&lt;&gt;"",A221&amp;"|"&amp;B221&amp;"|"&amp;C221,"")</f>
        <v/>
      </c>
      <c r="I221" s="14">
        <f>E221</f>
        <v/>
      </c>
    </row>
    <row r="222">
      <c r="H222" s="14">
        <f>IF(A222&lt;&gt;"",A222&amp;"|"&amp;B222&amp;"|"&amp;C222,"")</f>
        <v/>
      </c>
      <c r="I222" s="14">
        <f>E222</f>
        <v/>
      </c>
    </row>
    <row r="223">
      <c r="H223" s="14">
        <f>IF(A223&lt;&gt;"",A223&amp;"|"&amp;B223&amp;"|"&amp;C223,"")</f>
        <v/>
      </c>
      <c r="I223" s="14">
        <f>E223</f>
        <v/>
      </c>
    </row>
    <row r="224">
      <c r="H224" s="14">
        <f>IF(A224&lt;&gt;"",A224&amp;"|"&amp;B224&amp;"|"&amp;C224,"")</f>
        <v/>
      </c>
      <c r="I224" s="14">
        <f>E224</f>
        <v/>
      </c>
    </row>
    <row r="225">
      <c r="H225" s="14">
        <f>IF(A225&lt;&gt;"",A225&amp;"|"&amp;B225&amp;"|"&amp;C225,"")</f>
        <v/>
      </c>
      <c r="I225" s="14">
        <f>E225</f>
        <v/>
      </c>
    </row>
    <row r="226">
      <c r="H226" s="14">
        <f>IF(A226&lt;&gt;"",A226&amp;"|"&amp;B226&amp;"|"&amp;C226,"")</f>
        <v/>
      </c>
      <c r="I226" s="14">
        <f>E226</f>
        <v/>
      </c>
    </row>
    <row r="227">
      <c r="H227" s="14">
        <f>IF(A227&lt;&gt;"",A227&amp;"|"&amp;B227&amp;"|"&amp;C227,"")</f>
        <v/>
      </c>
      <c r="I227" s="14">
        <f>E227</f>
        <v/>
      </c>
    </row>
    <row r="228">
      <c r="H228" s="14">
        <f>IF(A228&lt;&gt;"",A228&amp;"|"&amp;B228&amp;"|"&amp;C228,"")</f>
        <v/>
      </c>
      <c r="I228" s="14">
        <f>E228</f>
        <v/>
      </c>
    </row>
    <row r="229">
      <c r="H229" s="14">
        <f>IF(A229&lt;&gt;"",A229&amp;"|"&amp;B229&amp;"|"&amp;C229,"")</f>
        <v/>
      </c>
      <c r="I229" s="14">
        <f>E229</f>
        <v/>
      </c>
    </row>
    <row r="230">
      <c r="H230" s="14">
        <f>IF(A230&lt;&gt;"",A230&amp;"|"&amp;B230&amp;"|"&amp;C230,"")</f>
        <v/>
      </c>
      <c r="I230" s="14">
        <f>E230</f>
        <v/>
      </c>
    </row>
    <row r="231">
      <c r="H231" s="14">
        <f>IF(A231&lt;&gt;"",A231&amp;"|"&amp;B231&amp;"|"&amp;C231,"")</f>
        <v/>
      </c>
      <c r="I231" s="14">
        <f>E231</f>
        <v/>
      </c>
    </row>
    <row r="232">
      <c r="H232" s="14">
        <f>IF(A232&lt;&gt;"",A232&amp;"|"&amp;B232&amp;"|"&amp;C232,"")</f>
        <v/>
      </c>
      <c r="I232" s="14">
        <f>E232</f>
        <v/>
      </c>
    </row>
    <row r="233">
      <c r="H233" s="14">
        <f>IF(A233&lt;&gt;"",A233&amp;"|"&amp;B233&amp;"|"&amp;C233,"")</f>
        <v/>
      </c>
      <c r="I233" s="14">
        <f>E233</f>
        <v/>
      </c>
    </row>
    <row r="234">
      <c r="H234" s="14">
        <f>IF(A234&lt;&gt;"",A234&amp;"|"&amp;B234&amp;"|"&amp;C234,"")</f>
        <v/>
      </c>
      <c r="I234" s="14">
        <f>E234</f>
        <v/>
      </c>
    </row>
    <row r="235">
      <c r="H235" s="14">
        <f>IF(A235&lt;&gt;"",A235&amp;"|"&amp;B235&amp;"|"&amp;C235,"")</f>
        <v/>
      </c>
      <c r="I235" s="14">
        <f>E235</f>
        <v/>
      </c>
    </row>
    <row r="236">
      <c r="H236" s="14">
        <f>IF(A236&lt;&gt;"",A236&amp;"|"&amp;B236&amp;"|"&amp;C236,"")</f>
        <v/>
      </c>
      <c r="I236" s="14">
        <f>E236</f>
        <v/>
      </c>
    </row>
    <row r="237">
      <c r="H237" s="14">
        <f>IF(A237&lt;&gt;"",A237&amp;"|"&amp;B237&amp;"|"&amp;C237,"")</f>
        <v/>
      </c>
      <c r="I237" s="14">
        <f>E237</f>
        <v/>
      </c>
    </row>
    <row r="238">
      <c r="H238" s="14">
        <f>IF(A238&lt;&gt;"",A238&amp;"|"&amp;B238&amp;"|"&amp;C238,"")</f>
        <v/>
      </c>
      <c r="I238" s="14">
        <f>E238</f>
        <v/>
      </c>
    </row>
    <row r="239">
      <c r="H239" s="14">
        <f>IF(A239&lt;&gt;"",A239&amp;"|"&amp;B239&amp;"|"&amp;C239,"")</f>
        <v/>
      </c>
      <c r="I239" s="14">
        <f>E239</f>
        <v/>
      </c>
    </row>
    <row r="240">
      <c r="H240" s="14">
        <f>IF(A240&lt;&gt;"",A240&amp;"|"&amp;B240&amp;"|"&amp;C240,"")</f>
        <v/>
      </c>
      <c r="I240" s="14">
        <f>E240</f>
        <v/>
      </c>
    </row>
    <row r="241">
      <c r="H241" s="14">
        <f>IF(A241&lt;&gt;"",A241&amp;"|"&amp;B241&amp;"|"&amp;C241,"")</f>
        <v/>
      </c>
      <c r="I241" s="14">
        <f>E241</f>
        <v/>
      </c>
    </row>
    <row r="242">
      <c r="H242" s="14">
        <f>IF(A242&lt;&gt;"",A242&amp;"|"&amp;B242&amp;"|"&amp;C242,"")</f>
        <v/>
      </c>
      <c r="I242" s="14">
        <f>E242</f>
        <v/>
      </c>
    </row>
    <row r="243">
      <c r="H243" s="14">
        <f>IF(A243&lt;&gt;"",A243&amp;"|"&amp;B243&amp;"|"&amp;C243,"")</f>
        <v/>
      </c>
      <c r="I243" s="14">
        <f>E243</f>
        <v/>
      </c>
    </row>
    <row r="244">
      <c r="H244" s="14">
        <f>IF(A244&lt;&gt;"",A244&amp;"|"&amp;B244&amp;"|"&amp;C244,"")</f>
        <v/>
      </c>
      <c r="I244" s="14">
        <f>E244</f>
        <v/>
      </c>
    </row>
    <row r="245">
      <c r="H245" s="14">
        <f>IF(A245&lt;&gt;"",A245&amp;"|"&amp;B245&amp;"|"&amp;C245,"")</f>
        <v/>
      </c>
      <c r="I245" s="14">
        <f>E245</f>
        <v/>
      </c>
    </row>
    <row r="246">
      <c r="H246" s="14">
        <f>IF(A246&lt;&gt;"",A246&amp;"|"&amp;B246&amp;"|"&amp;C246,"")</f>
        <v/>
      </c>
      <c r="I246" s="14">
        <f>E246</f>
        <v/>
      </c>
    </row>
    <row r="247">
      <c r="H247" s="14">
        <f>IF(A247&lt;&gt;"",A247&amp;"|"&amp;B247&amp;"|"&amp;C247,"")</f>
        <v/>
      </c>
      <c r="I247" s="14">
        <f>E247</f>
        <v/>
      </c>
    </row>
    <row r="248">
      <c r="H248" s="14">
        <f>IF(A248&lt;&gt;"",A248&amp;"|"&amp;B248&amp;"|"&amp;C248,"")</f>
        <v/>
      </c>
      <c r="I248" s="14">
        <f>E248</f>
        <v/>
      </c>
    </row>
    <row r="249">
      <c r="H249" s="14">
        <f>IF(A249&lt;&gt;"",A249&amp;"|"&amp;B249&amp;"|"&amp;C249,"")</f>
        <v/>
      </c>
      <c r="I249" s="14">
        <f>E249</f>
        <v/>
      </c>
    </row>
    <row r="250">
      <c r="H250" s="14">
        <f>IF(A250&lt;&gt;"",A250&amp;"|"&amp;B250&amp;"|"&amp;C250,"")</f>
        <v/>
      </c>
      <c r="I250" s="14">
        <f>E250</f>
        <v/>
      </c>
    </row>
    <row r="251">
      <c r="H251" s="14">
        <f>IF(A251&lt;&gt;"",A251&amp;"|"&amp;B251&amp;"|"&amp;C251,"")</f>
        <v/>
      </c>
      <c r="I251" s="14">
        <f>E251</f>
        <v/>
      </c>
    </row>
    <row r="252">
      <c r="H252" s="14">
        <f>IF(A252&lt;&gt;"",A252&amp;"|"&amp;B252&amp;"|"&amp;C252,"")</f>
        <v/>
      </c>
      <c r="I252" s="14">
        <f>E252</f>
        <v/>
      </c>
    </row>
    <row r="253">
      <c r="H253" s="14">
        <f>IF(A253&lt;&gt;"",A253&amp;"|"&amp;B253&amp;"|"&amp;C253,"")</f>
        <v/>
      </c>
      <c r="I253" s="14">
        <f>E253</f>
        <v/>
      </c>
    </row>
    <row r="254">
      <c r="H254" s="14">
        <f>IF(A254&lt;&gt;"",A254&amp;"|"&amp;B254&amp;"|"&amp;C254,"")</f>
        <v/>
      </c>
      <c r="I254" s="14">
        <f>E254</f>
        <v/>
      </c>
    </row>
    <row r="255">
      <c r="H255" s="14">
        <f>IF(A255&lt;&gt;"",A255&amp;"|"&amp;B255&amp;"|"&amp;C255,"")</f>
        <v/>
      </c>
      <c r="I255" s="14">
        <f>E255</f>
        <v/>
      </c>
    </row>
    <row r="256">
      <c r="H256" s="14">
        <f>IF(A256&lt;&gt;"",A256&amp;"|"&amp;B256&amp;"|"&amp;C256,"")</f>
        <v/>
      </c>
      <c r="I256" s="14">
        <f>E256</f>
        <v/>
      </c>
    </row>
    <row r="257">
      <c r="H257" s="14">
        <f>IF(A257&lt;&gt;"",A257&amp;"|"&amp;B257&amp;"|"&amp;C257,"")</f>
        <v/>
      </c>
      <c r="I257" s="14">
        <f>E257</f>
        <v/>
      </c>
    </row>
    <row r="258">
      <c r="H258" s="14">
        <f>IF(A258&lt;&gt;"",A258&amp;"|"&amp;B258&amp;"|"&amp;C258,"")</f>
        <v/>
      </c>
      <c r="I258" s="14">
        <f>E258</f>
        <v/>
      </c>
    </row>
    <row r="259">
      <c r="H259" s="14">
        <f>IF(A259&lt;&gt;"",A259&amp;"|"&amp;B259&amp;"|"&amp;C259,"")</f>
        <v/>
      </c>
      <c r="I259" s="14">
        <f>E259</f>
        <v/>
      </c>
    </row>
    <row r="260">
      <c r="H260" s="14">
        <f>IF(A260&lt;&gt;"",A260&amp;"|"&amp;B260&amp;"|"&amp;C260,"")</f>
        <v/>
      </c>
      <c r="I260" s="14">
        <f>E260</f>
        <v/>
      </c>
    </row>
    <row r="261">
      <c r="H261" s="14">
        <f>IF(A261&lt;&gt;"",A261&amp;"|"&amp;B261&amp;"|"&amp;C261,"")</f>
        <v/>
      </c>
      <c r="I261" s="14">
        <f>E261</f>
        <v/>
      </c>
    </row>
    <row r="262">
      <c r="H262" s="14">
        <f>IF(A262&lt;&gt;"",A262&amp;"|"&amp;B262&amp;"|"&amp;C262,"")</f>
        <v/>
      </c>
      <c r="I262" s="14">
        <f>E262</f>
        <v/>
      </c>
    </row>
    <row r="263">
      <c r="H263" s="14">
        <f>IF(A263&lt;&gt;"",A263&amp;"|"&amp;B263&amp;"|"&amp;C263,"")</f>
        <v/>
      </c>
      <c r="I263" s="14">
        <f>E263</f>
        <v/>
      </c>
    </row>
    <row r="264">
      <c r="H264" s="14">
        <f>IF(A264&lt;&gt;"",A264&amp;"|"&amp;B264&amp;"|"&amp;C264,"")</f>
        <v/>
      </c>
      <c r="I264" s="14">
        <f>E264</f>
        <v/>
      </c>
    </row>
    <row r="265">
      <c r="H265" s="14">
        <f>IF(A265&lt;&gt;"",A265&amp;"|"&amp;B265&amp;"|"&amp;C265,"")</f>
        <v/>
      </c>
      <c r="I265" s="14">
        <f>E265</f>
        <v/>
      </c>
    </row>
    <row r="266">
      <c r="H266" s="14">
        <f>IF(A266&lt;&gt;"",A266&amp;"|"&amp;B266&amp;"|"&amp;C266,"")</f>
        <v/>
      </c>
      <c r="I266" s="14">
        <f>E266</f>
        <v/>
      </c>
    </row>
    <row r="267">
      <c r="H267" s="14">
        <f>IF(A267&lt;&gt;"",A267&amp;"|"&amp;B267&amp;"|"&amp;C267,"")</f>
        <v/>
      </c>
      <c r="I267" s="14">
        <f>E267</f>
        <v/>
      </c>
    </row>
    <row r="268">
      <c r="H268" s="14">
        <f>IF(A268&lt;&gt;"",A268&amp;"|"&amp;B268&amp;"|"&amp;C268,"")</f>
        <v/>
      </c>
      <c r="I268" s="14">
        <f>E268</f>
        <v/>
      </c>
    </row>
    <row r="269">
      <c r="H269" s="14">
        <f>IF(A269&lt;&gt;"",A269&amp;"|"&amp;B269&amp;"|"&amp;C269,"")</f>
        <v/>
      </c>
      <c r="I269" s="14">
        <f>E269</f>
        <v/>
      </c>
    </row>
    <row r="270">
      <c r="H270" s="14">
        <f>IF(A270&lt;&gt;"",A270&amp;"|"&amp;B270&amp;"|"&amp;C270,"")</f>
        <v/>
      </c>
      <c r="I270" s="14">
        <f>E270</f>
        <v/>
      </c>
    </row>
    <row r="271">
      <c r="H271" s="14">
        <f>IF(A271&lt;&gt;"",A271&amp;"|"&amp;B271&amp;"|"&amp;C271,"")</f>
        <v/>
      </c>
      <c r="I271" s="14">
        <f>E271</f>
        <v/>
      </c>
    </row>
    <row r="272">
      <c r="H272" s="14">
        <f>IF(A272&lt;&gt;"",A272&amp;"|"&amp;B272&amp;"|"&amp;C272,"")</f>
        <v/>
      </c>
      <c r="I272" s="14">
        <f>E272</f>
        <v/>
      </c>
    </row>
    <row r="273">
      <c r="H273" s="14">
        <f>IF(A273&lt;&gt;"",A273&amp;"|"&amp;B273&amp;"|"&amp;C273,"")</f>
        <v/>
      </c>
      <c r="I273" s="14">
        <f>E273</f>
        <v/>
      </c>
    </row>
    <row r="274">
      <c r="H274" s="14">
        <f>IF(A274&lt;&gt;"",A274&amp;"|"&amp;B274&amp;"|"&amp;C274,"")</f>
        <v/>
      </c>
      <c r="I274" s="14">
        <f>E274</f>
        <v/>
      </c>
    </row>
    <row r="275">
      <c r="H275" s="14">
        <f>IF(A275&lt;&gt;"",A275&amp;"|"&amp;B275&amp;"|"&amp;C275,"")</f>
        <v/>
      </c>
      <c r="I275" s="14">
        <f>E275</f>
        <v/>
      </c>
    </row>
    <row r="276">
      <c r="H276" s="14">
        <f>IF(A276&lt;&gt;"",A276&amp;"|"&amp;B276&amp;"|"&amp;C276,"")</f>
        <v/>
      </c>
      <c r="I276" s="14">
        <f>E276</f>
        <v/>
      </c>
    </row>
    <row r="277">
      <c r="H277" s="14">
        <f>IF(A277&lt;&gt;"",A277&amp;"|"&amp;B277&amp;"|"&amp;C277,"")</f>
        <v/>
      </c>
      <c r="I277" s="14">
        <f>E277</f>
        <v/>
      </c>
    </row>
    <row r="278">
      <c r="H278" s="14">
        <f>IF(A278&lt;&gt;"",A278&amp;"|"&amp;B278&amp;"|"&amp;C278,"")</f>
        <v/>
      </c>
      <c r="I278" s="14">
        <f>E278</f>
        <v/>
      </c>
    </row>
    <row r="279">
      <c r="H279" s="14">
        <f>IF(A279&lt;&gt;"",A279&amp;"|"&amp;B279&amp;"|"&amp;C279,"")</f>
        <v/>
      </c>
      <c r="I279" s="14">
        <f>E279</f>
        <v/>
      </c>
    </row>
    <row r="280">
      <c r="H280" s="14">
        <f>IF(A280&lt;&gt;"",A280&amp;"|"&amp;B280&amp;"|"&amp;C280,"")</f>
        <v/>
      </c>
      <c r="I280" s="14">
        <f>E280</f>
        <v/>
      </c>
    </row>
    <row r="281">
      <c r="H281" s="14">
        <f>IF(A281&lt;&gt;"",A281&amp;"|"&amp;B281&amp;"|"&amp;C281,"")</f>
        <v/>
      </c>
      <c r="I281" s="14">
        <f>E281</f>
        <v/>
      </c>
    </row>
    <row r="282">
      <c r="H282" s="14">
        <f>IF(A282&lt;&gt;"",A282&amp;"|"&amp;B282&amp;"|"&amp;C282,"")</f>
        <v/>
      </c>
      <c r="I282" s="14">
        <f>E282</f>
        <v/>
      </c>
    </row>
    <row r="283">
      <c r="H283" s="14">
        <f>IF(A283&lt;&gt;"",A283&amp;"|"&amp;B283&amp;"|"&amp;C283,"")</f>
        <v/>
      </c>
      <c r="I283" s="14">
        <f>E283</f>
        <v/>
      </c>
    </row>
    <row r="284">
      <c r="H284" s="14">
        <f>IF(A284&lt;&gt;"",A284&amp;"|"&amp;B284&amp;"|"&amp;C284,"")</f>
        <v/>
      </c>
      <c r="I284" s="14">
        <f>E284</f>
        <v/>
      </c>
    </row>
    <row r="285">
      <c r="H285" s="14">
        <f>IF(A285&lt;&gt;"",A285&amp;"|"&amp;B285&amp;"|"&amp;C285,"")</f>
        <v/>
      </c>
      <c r="I285" s="14">
        <f>E285</f>
        <v/>
      </c>
    </row>
    <row r="286">
      <c r="H286" s="14">
        <f>IF(A286&lt;&gt;"",A286&amp;"|"&amp;B286&amp;"|"&amp;C286,"")</f>
        <v/>
      </c>
      <c r="I286" s="14">
        <f>E286</f>
        <v/>
      </c>
    </row>
    <row r="287">
      <c r="H287" s="14">
        <f>IF(A287&lt;&gt;"",A287&amp;"|"&amp;B287&amp;"|"&amp;C287,"")</f>
        <v/>
      </c>
      <c r="I287" s="14">
        <f>E287</f>
        <v/>
      </c>
    </row>
    <row r="288">
      <c r="H288" s="14">
        <f>IF(A288&lt;&gt;"",A288&amp;"|"&amp;B288&amp;"|"&amp;C288,"")</f>
        <v/>
      </c>
      <c r="I288" s="14">
        <f>E288</f>
        <v/>
      </c>
    </row>
    <row r="289">
      <c r="H289" s="14">
        <f>IF(A289&lt;&gt;"",A289&amp;"|"&amp;B289&amp;"|"&amp;C289,"")</f>
        <v/>
      </c>
      <c r="I289" s="14">
        <f>E289</f>
        <v/>
      </c>
    </row>
    <row r="290">
      <c r="H290" s="14">
        <f>IF(A290&lt;&gt;"",A290&amp;"|"&amp;B290&amp;"|"&amp;C290,"")</f>
        <v/>
      </c>
      <c r="I290" s="14">
        <f>E290</f>
        <v/>
      </c>
    </row>
    <row r="291">
      <c r="H291" s="14">
        <f>IF(A291&lt;&gt;"",A291&amp;"|"&amp;B291&amp;"|"&amp;C291,"")</f>
        <v/>
      </c>
      <c r="I291" s="14">
        <f>E291</f>
        <v/>
      </c>
    </row>
    <row r="292">
      <c r="H292" s="14">
        <f>IF(A292&lt;&gt;"",A292&amp;"|"&amp;B292&amp;"|"&amp;C292,"")</f>
        <v/>
      </c>
      <c r="I292" s="14">
        <f>E292</f>
        <v/>
      </c>
    </row>
    <row r="293">
      <c r="H293" s="14">
        <f>IF(A293&lt;&gt;"",A293&amp;"|"&amp;B293&amp;"|"&amp;C293,"")</f>
        <v/>
      </c>
      <c r="I293" s="14">
        <f>E293</f>
        <v/>
      </c>
    </row>
    <row r="294">
      <c r="H294" s="14">
        <f>IF(A294&lt;&gt;"",A294&amp;"|"&amp;B294&amp;"|"&amp;C294,"")</f>
        <v/>
      </c>
      <c r="I294" s="14">
        <f>E294</f>
        <v/>
      </c>
    </row>
    <row r="295">
      <c r="H295" s="14">
        <f>IF(A295&lt;&gt;"",A295&amp;"|"&amp;B295&amp;"|"&amp;C295,"")</f>
        <v/>
      </c>
      <c r="I295" s="14">
        <f>E295</f>
        <v/>
      </c>
    </row>
    <row r="296">
      <c r="H296" s="14">
        <f>IF(A296&lt;&gt;"",A296&amp;"|"&amp;B296&amp;"|"&amp;C296,"")</f>
        <v/>
      </c>
      <c r="I296" s="14">
        <f>E296</f>
        <v/>
      </c>
    </row>
    <row r="297">
      <c r="H297" s="14">
        <f>IF(A297&lt;&gt;"",A297&amp;"|"&amp;B297&amp;"|"&amp;C297,"")</f>
        <v/>
      </c>
      <c r="I297" s="14">
        <f>E297</f>
        <v/>
      </c>
    </row>
    <row r="298">
      <c r="H298" s="14">
        <f>IF(A298&lt;&gt;"",A298&amp;"|"&amp;B298&amp;"|"&amp;C298,"")</f>
        <v/>
      </c>
      <c r="I298" s="14">
        <f>E298</f>
        <v/>
      </c>
    </row>
    <row r="299">
      <c r="H299" s="14">
        <f>IF(A299&lt;&gt;"",A299&amp;"|"&amp;B299&amp;"|"&amp;C299,"")</f>
        <v/>
      </c>
      <c r="I299" s="14">
        <f>E299</f>
        <v/>
      </c>
    </row>
    <row r="300">
      <c r="H300" s="14">
        <f>IF(A300&lt;&gt;"",A300&amp;"|"&amp;B300&amp;"|"&amp;C300,"")</f>
        <v/>
      </c>
      <c r="I300" s="14">
        <f>E300</f>
        <v/>
      </c>
    </row>
    <row r="301">
      <c r="H301" s="14">
        <f>IF(A301&lt;&gt;"",A301&amp;"|"&amp;B301&amp;"|"&amp;C301,"")</f>
        <v/>
      </c>
      <c r="I301" s="14">
        <f>E301</f>
        <v/>
      </c>
    </row>
    <row r="302">
      <c r="H302" s="14">
        <f>IF(A302&lt;&gt;"",A302&amp;"|"&amp;B302&amp;"|"&amp;C302,"")</f>
        <v/>
      </c>
      <c r="I302" s="14">
        <f>E302</f>
        <v/>
      </c>
    </row>
    <row r="303">
      <c r="H303" s="14">
        <f>IF(A303&lt;&gt;"",A303&amp;"|"&amp;B303&amp;"|"&amp;C303,"")</f>
        <v/>
      </c>
      <c r="I303" s="14">
        <f>E303</f>
        <v/>
      </c>
    </row>
    <row r="304">
      <c r="H304" s="14">
        <f>IF(A304&lt;&gt;"",A304&amp;"|"&amp;B304&amp;"|"&amp;C304,"")</f>
        <v/>
      </c>
      <c r="I304" s="14">
        <f>E304</f>
        <v/>
      </c>
    </row>
    <row r="305">
      <c r="H305" s="14">
        <f>IF(A305&lt;&gt;"",A305&amp;"|"&amp;B305&amp;"|"&amp;C305,"")</f>
        <v/>
      </c>
      <c r="I305" s="14">
        <f>E305</f>
        <v/>
      </c>
    </row>
    <row r="306">
      <c r="H306" s="14">
        <f>IF(A306&lt;&gt;"",A306&amp;"|"&amp;B306&amp;"|"&amp;C306,"")</f>
        <v/>
      </c>
      <c r="I306" s="14">
        <f>E306</f>
        <v/>
      </c>
    </row>
    <row r="307">
      <c r="H307" s="14">
        <f>IF(A307&lt;&gt;"",A307&amp;"|"&amp;B307&amp;"|"&amp;C307,"")</f>
        <v/>
      </c>
      <c r="I307" s="14">
        <f>E307</f>
        <v/>
      </c>
    </row>
    <row r="308">
      <c r="H308" s="14">
        <f>IF(A308&lt;&gt;"",A308&amp;"|"&amp;B308&amp;"|"&amp;C308,"")</f>
        <v/>
      </c>
      <c r="I308" s="14">
        <f>E308</f>
        <v/>
      </c>
    </row>
    <row r="309">
      <c r="H309" s="14">
        <f>IF(A309&lt;&gt;"",A309&amp;"|"&amp;B309&amp;"|"&amp;C309,"")</f>
        <v/>
      </c>
      <c r="I309" s="14">
        <f>E309</f>
        <v/>
      </c>
    </row>
    <row r="310">
      <c r="H310" s="14">
        <f>IF(A310&lt;&gt;"",A310&amp;"|"&amp;B310&amp;"|"&amp;C310,"")</f>
        <v/>
      </c>
      <c r="I310" s="14">
        <f>E310</f>
        <v/>
      </c>
    </row>
    <row r="311">
      <c r="H311" s="14">
        <f>IF(A311&lt;&gt;"",A311&amp;"|"&amp;B311&amp;"|"&amp;C311,"")</f>
        <v/>
      </c>
      <c r="I311" s="14">
        <f>E311</f>
        <v/>
      </c>
    </row>
    <row r="312">
      <c r="H312" s="14">
        <f>IF(A312&lt;&gt;"",A312&amp;"|"&amp;B312&amp;"|"&amp;C312,"")</f>
        <v/>
      </c>
      <c r="I312" s="14">
        <f>E312</f>
        <v/>
      </c>
    </row>
    <row r="313">
      <c r="H313" s="14">
        <f>IF(A313&lt;&gt;"",A313&amp;"|"&amp;B313&amp;"|"&amp;C313,"")</f>
        <v/>
      </c>
      <c r="I313" s="14">
        <f>E313</f>
        <v/>
      </c>
    </row>
    <row r="314">
      <c r="H314" s="14">
        <f>IF(A314&lt;&gt;"",A314&amp;"|"&amp;B314&amp;"|"&amp;C314,"")</f>
        <v/>
      </c>
      <c r="I314" s="14">
        <f>E314</f>
        <v/>
      </c>
    </row>
    <row r="315">
      <c r="H315" s="14">
        <f>IF(A315&lt;&gt;"",A315&amp;"|"&amp;B315&amp;"|"&amp;C315,"")</f>
        <v/>
      </c>
      <c r="I315" s="14">
        <f>E315</f>
        <v/>
      </c>
    </row>
    <row r="316">
      <c r="H316" s="14">
        <f>IF(A316&lt;&gt;"",A316&amp;"|"&amp;B316&amp;"|"&amp;C316,"")</f>
        <v/>
      </c>
      <c r="I316" s="14">
        <f>E316</f>
        <v/>
      </c>
    </row>
    <row r="317">
      <c r="H317" s="14">
        <f>IF(A317&lt;&gt;"",A317&amp;"|"&amp;B317&amp;"|"&amp;C317,"")</f>
        <v/>
      </c>
      <c r="I317" s="14">
        <f>E317</f>
        <v/>
      </c>
    </row>
    <row r="318">
      <c r="H318" s="14">
        <f>IF(A318&lt;&gt;"",A318&amp;"|"&amp;B318&amp;"|"&amp;C318,"")</f>
        <v/>
      </c>
      <c r="I318" s="14">
        <f>E318</f>
        <v/>
      </c>
    </row>
    <row r="319">
      <c r="H319" s="14">
        <f>IF(A319&lt;&gt;"",A319&amp;"|"&amp;B319&amp;"|"&amp;C319,"")</f>
        <v/>
      </c>
      <c r="I319" s="14">
        <f>E319</f>
        <v/>
      </c>
    </row>
    <row r="320">
      <c r="H320" s="14">
        <f>IF(A320&lt;&gt;"",A320&amp;"|"&amp;B320&amp;"|"&amp;C320,"")</f>
        <v/>
      </c>
      <c r="I320" s="14">
        <f>E320</f>
        <v/>
      </c>
    </row>
    <row r="321">
      <c r="H321" s="14">
        <f>IF(A321&lt;&gt;"",A321&amp;"|"&amp;B321&amp;"|"&amp;C321,"")</f>
        <v/>
      </c>
      <c r="I321" s="14">
        <f>E321</f>
        <v/>
      </c>
    </row>
    <row r="322">
      <c r="H322" s="14">
        <f>IF(A322&lt;&gt;"",A322&amp;"|"&amp;B322&amp;"|"&amp;C322,"")</f>
        <v/>
      </c>
      <c r="I322" s="14">
        <f>E322</f>
        <v/>
      </c>
    </row>
    <row r="323">
      <c r="H323" s="14">
        <f>IF(A323&lt;&gt;"",A323&amp;"|"&amp;B323&amp;"|"&amp;C323,"")</f>
        <v/>
      </c>
      <c r="I323" s="14">
        <f>E323</f>
        <v/>
      </c>
    </row>
    <row r="324">
      <c r="H324" s="14">
        <f>IF(A324&lt;&gt;"",A324&amp;"|"&amp;B324&amp;"|"&amp;C324,"")</f>
        <v/>
      </c>
      <c r="I324" s="14">
        <f>E324</f>
        <v/>
      </c>
    </row>
    <row r="325">
      <c r="H325" s="14">
        <f>IF(A325&lt;&gt;"",A325&amp;"|"&amp;B325&amp;"|"&amp;C325,"")</f>
        <v/>
      </c>
      <c r="I325" s="14">
        <f>E325</f>
        <v/>
      </c>
    </row>
    <row r="326">
      <c r="H326" s="14">
        <f>IF(A326&lt;&gt;"",A326&amp;"|"&amp;B326&amp;"|"&amp;C326,"")</f>
        <v/>
      </c>
      <c r="I326" s="14">
        <f>E326</f>
        <v/>
      </c>
    </row>
    <row r="327">
      <c r="H327" s="14">
        <f>IF(A327&lt;&gt;"",A327&amp;"|"&amp;B327&amp;"|"&amp;C327,"")</f>
        <v/>
      </c>
      <c r="I327" s="14">
        <f>E327</f>
        <v/>
      </c>
    </row>
    <row r="328">
      <c r="H328" s="14">
        <f>IF(A328&lt;&gt;"",A328&amp;"|"&amp;B328&amp;"|"&amp;C328,"")</f>
        <v/>
      </c>
      <c r="I328" s="14">
        <f>E328</f>
        <v/>
      </c>
    </row>
    <row r="329">
      <c r="H329" s="14">
        <f>IF(A329&lt;&gt;"",A329&amp;"|"&amp;B329&amp;"|"&amp;C329,"")</f>
        <v/>
      </c>
      <c r="I329" s="14">
        <f>E329</f>
        <v/>
      </c>
    </row>
    <row r="330">
      <c r="H330" s="14">
        <f>IF(A330&lt;&gt;"",A330&amp;"|"&amp;B330&amp;"|"&amp;C330,"")</f>
        <v/>
      </c>
      <c r="I330" s="14">
        <f>E330</f>
        <v/>
      </c>
    </row>
    <row r="331">
      <c r="H331" s="14">
        <f>IF(A331&lt;&gt;"",A331&amp;"|"&amp;B331&amp;"|"&amp;C331,"")</f>
        <v/>
      </c>
      <c r="I331" s="14">
        <f>E331</f>
        <v/>
      </c>
    </row>
    <row r="332">
      <c r="H332" s="14">
        <f>IF(A332&lt;&gt;"",A332&amp;"|"&amp;B332&amp;"|"&amp;C332,"")</f>
        <v/>
      </c>
      <c r="I332" s="14">
        <f>E332</f>
        <v/>
      </c>
    </row>
    <row r="333">
      <c r="H333" s="14">
        <f>IF(A333&lt;&gt;"",A333&amp;"|"&amp;B333&amp;"|"&amp;C333,"")</f>
        <v/>
      </c>
      <c r="I333" s="14">
        <f>E333</f>
        <v/>
      </c>
    </row>
    <row r="334">
      <c r="H334" s="14">
        <f>IF(A334&lt;&gt;"",A334&amp;"|"&amp;B334&amp;"|"&amp;C334,"")</f>
        <v/>
      </c>
      <c r="I334" s="14">
        <f>E334</f>
        <v/>
      </c>
    </row>
    <row r="335">
      <c r="H335" s="14">
        <f>IF(A335&lt;&gt;"",A335&amp;"|"&amp;B335&amp;"|"&amp;C335,"")</f>
        <v/>
      </c>
      <c r="I335" s="14">
        <f>E335</f>
        <v/>
      </c>
    </row>
    <row r="336">
      <c r="H336" s="14">
        <f>IF(A336&lt;&gt;"",A336&amp;"|"&amp;B336&amp;"|"&amp;C336,"")</f>
        <v/>
      </c>
      <c r="I336" s="14">
        <f>E336</f>
        <v/>
      </c>
    </row>
    <row r="337">
      <c r="H337" s="14">
        <f>IF(A337&lt;&gt;"",A337&amp;"|"&amp;B337&amp;"|"&amp;C337,"")</f>
        <v/>
      </c>
      <c r="I337" s="14">
        <f>E337</f>
        <v/>
      </c>
    </row>
    <row r="338">
      <c r="H338" s="14">
        <f>IF(A338&lt;&gt;"",A338&amp;"|"&amp;B338&amp;"|"&amp;C338,"")</f>
        <v/>
      </c>
      <c r="I338" s="14">
        <f>E338</f>
        <v/>
      </c>
    </row>
    <row r="339">
      <c r="H339" s="14">
        <f>IF(A339&lt;&gt;"",A339&amp;"|"&amp;B339&amp;"|"&amp;C339,"")</f>
        <v/>
      </c>
      <c r="I339" s="14">
        <f>E339</f>
        <v/>
      </c>
    </row>
    <row r="340">
      <c r="H340" s="14">
        <f>IF(A340&lt;&gt;"",A340&amp;"|"&amp;B340&amp;"|"&amp;C340,"")</f>
        <v/>
      </c>
      <c r="I340" s="14">
        <f>E340</f>
        <v/>
      </c>
    </row>
    <row r="341">
      <c r="H341" s="14">
        <f>IF(A341&lt;&gt;"",A341&amp;"|"&amp;B341&amp;"|"&amp;C341,"")</f>
        <v/>
      </c>
      <c r="I341" s="14">
        <f>E341</f>
        <v/>
      </c>
    </row>
    <row r="342">
      <c r="H342" s="14">
        <f>IF(A342&lt;&gt;"",A342&amp;"|"&amp;B342&amp;"|"&amp;C342,"")</f>
        <v/>
      </c>
      <c r="I342" s="14">
        <f>E342</f>
        <v/>
      </c>
    </row>
    <row r="343">
      <c r="H343" s="14">
        <f>IF(A343&lt;&gt;"",A343&amp;"|"&amp;B343&amp;"|"&amp;C343,"")</f>
        <v/>
      </c>
      <c r="I343" s="14">
        <f>E343</f>
        <v/>
      </c>
    </row>
    <row r="344">
      <c r="H344" s="14">
        <f>IF(A344&lt;&gt;"",A344&amp;"|"&amp;B344&amp;"|"&amp;C344,"")</f>
        <v/>
      </c>
      <c r="I344" s="14">
        <f>E344</f>
        <v/>
      </c>
    </row>
    <row r="345">
      <c r="H345" s="14">
        <f>IF(A345&lt;&gt;"",A345&amp;"|"&amp;B345&amp;"|"&amp;C345,"")</f>
        <v/>
      </c>
      <c r="I345" s="14">
        <f>E345</f>
        <v/>
      </c>
    </row>
    <row r="346">
      <c r="H346" s="14">
        <f>IF(A346&lt;&gt;"",A346&amp;"|"&amp;B346&amp;"|"&amp;C346,"")</f>
        <v/>
      </c>
      <c r="I346" s="14">
        <f>E346</f>
        <v/>
      </c>
    </row>
    <row r="347">
      <c r="H347" s="14">
        <f>IF(A347&lt;&gt;"",A347&amp;"|"&amp;B347&amp;"|"&amp;C347,"")</f>
        <v/>
      </c>
      <c r="I347" s="14">
        <f>E347</f>
        <v/>
      </c>
    </row>
    <row r="348">
      <c r="H348" s="14">
        <f>IF(A348&lt;&gt;"",A348&amp;"|"&amp;B348&amp;"|"&amp;C348,"")</f>
        <v/>
      </c>
      <c r="I348" s="14">
        <f>E348</f>
        <v/>
      </c>
    </row>
    <row r="349">
      <c r="H349" s="14">
        <f>IF(A349&lt;&gt;"",A349&amp;"|"&amp;B349&amp;"|"&amp;C349,"")</f>
        <v/>
      </c>
      <c r="I349" s="14">
        <f>E349</f>
        <v/>
      </c>
    </row>
    <row r="350">
      <c r="H350" s="14">
        <f>IF(A350&lt;&gt;"",A350&amp;"|"&amp;B350&amp;"|"&amp;C350,"")</f>
        <v/>
      </c>
      <c r="I350" s="14">
        <f>E350</f>
        <v/>
      </c>
    </row>
    <row r="351">
      <c r="H351" s="14">
        <f>IF(A351&lt;&gt;"",A351&amp;"|"&amp;B351&amp;"|"&amp;C351,"")</f>
        <v/>
      </c>
      <c r="I351" s="14">
        <f>E351</f>
        <v/>
      </c>
    </row>
    <row r="352">
      <c r="H352" s="14">
        <f>IF(A352&lt;&gt;"",A352&amp;"|"&amp;B352&amp;"|"&amp;C352,"")</f>
        <v/>
      </c>
      <c r="I352" s="14">
        <f>E352</f>
        <v/>
      </c>
    </row>
    <row r="353">
      <c r="H353" s="14">
        <f>IF(A353&lt;&gt;"",A353&amp;"|"&amp;B353&amp;"|"&amp;C353,"")</f>
        <v/>
      </c>
      <c r="I353" s="14">
        <f>E353</f>
        <v/>
      </c>
    </row>
    <row r="354">
      <c r="H354" s="14">
        <f>IF(A354&lt;&gt;"",A354&amp;"|"&amp;B354&amp;"|"&amp;C354,"")</f>
        <v/>
      </c>
      <c r="I354" s="14">
        <f>E354</f>
        <v/>
      </c>
    </row>
    <row r="355">
      <c r="H355" s="14">
        <f>IF(A355&lt;&gt;"",A355&amp;"|"&amp;B355&amp;"|"&amp;C355,"")</f>
        <v/>
      </c>
      <c r="I355" s="14">
        <f>E355</f>
        <v/>
      </c>
    </row>
    <row r="356">
      <c r="H356" s="14">
        <f>IF(A356&lt;&gt;"",A356&amp;"|"&amp;B356&amp;"|"&amp;C356,"")</f>
        <v/>
      </c>
      <c r="I356" s="14">
        <f>E356</f>
        <v/>
      </c>
    </row>
    <row r="357">
      <c r="H357" s="14">
        <f>IF(A357&lt;&gt;"",A357&amp;"|"&amp;B357&amp;"|"&amp;C357,"")</f>
        <v/>
      </c>
      <c r="I357" s="14">
        <f>E357</f>
        <v/>
      </c>
    </row>
    <row r="358">
      <c r="H358" s="14">
        <f>IF(A358&lt;&gt;"",A358&amp;"|"&amp;B358&amp;"|"&amp;C358,"")</f>
        <v/>
      </c>
      <c r="I358" s="14">
        <f>E358</f>
        <v/>
      </c>
    </row>
    <row r="359">
      <c r="H359" s="14">
        <f>IF(A359&lt;&gt;"",A359&amp;"|"&amp;B359&amp;"|"&amp;C359,"")</f>
        <v/>
      </c>
      <c r="I359" s="14">
        <f>E359</f>
        <v/>
      </c>
    </row>
    <row r="360">
      <c r="H360" s="14">
        <f>IF(A360&lt;&gt;"",A360&amp;"|"&amp;B360&amp;"|"&amp;C360,"")</f>
        <v/>
      </c>
      <c r="I360" s="14">
        <f>E360</f>
        <v/>
      </c>
    </row>
    <row r="361">
      <c r="H361" s="14">
        <f>IF(A361&lt;&gt;"",A361&amp;"|"&amp;B361&amp;"|"&amp;C361,"")</f>
        <v/>
      </c>
      <c r="I361" s="14">
        <f>E361</f>
        <v/>
      </c>
    </row>
    <row r="362">
      <c r="H362" s="14">
        <f>IF(A362&lt;&gt;"",A362&amp;"|"&amp;B362&amp;"|"&amp;C362,"")</f>
        <v/>
      </c>
      <c r="I362" s="14">
        <f>E362</f>
        <v/>
      </c>
    </row>
    <row r="363">
      <c r="H363" s="14">
        <f>IF(A363&lt;&gt;"",A363&amp;"|"&amp;B363&amp;"|"&amp;C363,"")</f>
        <v/>
      </c>
      <c r="I363" s="14">
        <f>E363</f>
        <v/>
      </c>
    </row>
    <row r="364">
      <c r="H364" s="14">
        <f>IF(A364&lt;&gt;"",A364&amp;"|"&amp;B364&amp;"|"&amp;C364,"")</f>
        <v/>
      </c>
      <c r="I364" s="14">
        <f>E364</f>
        <v/>
      </c>
    </row>
    <row r="365">
      <c r="H365" s="14">
        <f>IF(A365&lt;&gt;"",A365&amp;"|"&amp;B365&amp;"|"&amp;C365,"")</f>
        <v/>
      </c>
      <c r="I365" s="14">
        <f>E365</f>
        <v/>
      </c>
    </row>
    <row r="366">
      <c r="H366" s="14">
        <f>IF(A366&lt;&gt;"",A366&amp;"|"&amp;B366&amp;"|"&amp;C366,"")</f>
        <v/>
      </c>
      <c r="I366" s="14">
        <f>E366</f>
        <v/>
      </c>
    </row>
    <row r="367">
      <c r="H367" s="14">
        <f>IF(A367&lt;&gt;"",A367&amp;"|"&amp;B367&amp;"|"&amp;C367,"")</f>
        <v/>
      </c>
      <c r="I367" s="14">
        <f>E367</f>
        <v/>
      </c>
    </row>
    <row r="368">
      <c r="H368" s="14">
        <f>IF(A368&lt;&gt;"",A368&amp;"|"&amp;B368&amp;"|"&amp;C368,"")</f>
        <v/>
      </c>
      <c r="I368" s="14">
        <f>E368</f>
        <v/>
      </c>
    </row>
    <row r="369">
      <c r="H369" s="14">
        <f>IF(A369&lt;&gt;"",A369&amp;"|"&amp;B369&amp;"|"&amp;C369,"")</f>
        <v/>
      </c>
      <c r="I369" s="14">
        <f>E369</f>
        <v/>
      </c>
    </row>
    <row r="370">
      <c r="H370" s="14">
        <f>IF(A370&lt;&gt;"",A370&amp;"|"&amp;B370&amp;"|"&amp;C370,"")</f>
        <v/>
      </c>
      <c r="I370" s="14">
        <f>E370</f>
        <v/>
      </c>
    </row>
    <row r="371">
      <c r="H371" s="14">
        <f>IF(A371&lt;&gt;"",A371&amp;"|"&amp;B371&amp;"|"&amp;C371,"")</f>
        <v/>
      </c>
      <c r="I371" s="14">
        <f>E371</f>
        <v/>
      </c>
    </row>
    <row r="372">
      <c r="H372" s="14">
        <f>IF(A372&lt;&gt;"",A372&amp;"|"&amp;B372&amp;"|"&amp;C372,"")</f>
        <v/>
      </c>
      <c r="I372" s="14">
        <f>E372</f>
        <v/>
      </c>
    </row>
    <row r="373">
      <c r="H373" s="14">
        <f>IF(A373&lt;&gt;"",A373&amp;"|"&amp;B373&amp;"|"&amp;C373,"")</f>
        <v/>
      </c>
      <c r="I373" s="14">
        <f>E373</f>
        <v/>
      </c>
    </row>
    <row r="374">
      <c r="H374" s="14">
        <f>IF(A374&lt;&gt;"",A374&amp;"|"&amp;B374&amp;"|"&amp;C374,"")</f>
        <v/>
      </c>
      <c r="I374" s="14">
        <f>E374</f>
        <v/>
      </c>
    </row>
    <row r="375">
      <c r="H375" s="14">
        <f>IF(A375&lt;&gt;"",A375&amp;"|"&amp;B375&amp;"|"&amp;C375,"")</f>
        <v/>
      </c>
      <c r="I375" s="14">
        <f>E375</f>
        <v/>
      </c>
    </row>
    <row r="376">
      <c r="H376" s="14">
        <f>IF(A376&lt;&gt;"",A376&amp;"|"&amp;B376&amp;"|"&amp;C376,"")</f>
        <v/>
      </c>
      <c r="I376" s="14">
        <f>E376</f>
        <v/>
      </c>
    </row>
    <row r="377">
      <c r="H377" s="14">
        <f>IF(A377&lt;&gt;"",A377&amp;"|"&amp;B377&amp;"|"&amp;C377,"")</f>
        <v/>
      </c>
      <c r="I377" s="14">
        <f>E377</f>
        <v/>
      </c>
    </row>
    <row r="378">
      <c r="H378" s="14">
        <f>IF(A378&lt;&gt;"",A378&amp;"|"&amp;B378&amp;"|"&amp;C378,"")</f>
        <v/>
      </c>
      <c r="I378" s="14">
        <f>E378</f>
        <v/>
      </c>
    </row>
    <row r="379">
      <c r="H379" s="14">
        <f>IF(A379&lt;&gt;"",A379&amp;"|"&amp;B379&amp;"|"&amp;C379,"")</f>
        <v/>
      </c>
      <c r="I379" s="14">
        <f>E379</f>
        <v/>
      </c>
    </row>
    <row r="380">
      <c r="H380" s="14">
        <f>IF(A380&lt;&gt;"",A380&amp;"|"&amp;B380&amp;"|"&amp;C380,"")</f>
        <v/>
      </c>
      <c r="I380" s="14">
        <f>E380</f>
        <v/>
      </c>
    </row>
    <row r="381">
      <c r="H381" s="14">
        <f>IF(A381&lt;&gt;"",A381&amp;"|"&amp;B381&amp;"|"&amp;C381,"")</f>
        <v/>
      </c>
      <c r="I381" s="14">
        <f>E381</f>
        <v/>
      </c>
    </row>
    <row r="382">
      <c r="H382" s="14">
        <f>IF(A382&lt;&gt;"",A382&amp;"|"&amp;B382&amp;"|"&amp;C382,"")</f>
        <v/>
      </c>
      <c r="I382" s="14">
        <f>E382</f>
        <v/>
      </c>
    </row>
    <row r="383">
      <c r="H383" s="14">
        <f>IF(A383&lt;&gt;"",A383&amp;"|"&amp;B383&amp;"|"&amp;C383,"")</f>
        <v/>
      </c>
      <c r="I383" s="14">
        <f>E383</f>
        <v/>
      </c>
    </row>
    <row r="384">
      <c r="H384" s="14">
        <f>IF(A384&lt;&gt;"",A384&amp;"|"&amp;B384&amp;"|"&amp;C384,"")</f>
        <v/>
      </c>
      <c r="I384" s="14">
        <f>E384</f>
        <v/>
      </c>
    </row>
    <row r="385">
      <c r="H385" s="14">
        <f>IF(A385&lt;&gt;"",A385&amp;"|"&amp;B385&amp;"|"&amp;C385,"")</f>
        <v/>
      </c>
      <c r="I385" s="14">
        <f>E385</f>
        <v/>
      </c>
    </row>
    <row r="386">
      <c r="H386" s="14">
        <f>IF(A386&lt;&gt;"",A386&amp;"|"&amp;B386&amp;"|"&amp;C386,"")</f>
        <v/>
      </c>
      <c r="I386" s="14">
        <f>E386</f>
        <v/>
      </c>
    </row>
    <row r="387">
      <c r="H387" s="14">
        <f>IF(A387&lt;&gt;"",A387&amp;"|"&amp;B387&amp;"|"&amp;C387,"")</f>
        <v/>
      </c>
      <c r="I387" s="14">
        <f>E387</f>
        <v/>
      </c>
    </row>
    <row r="388">
      <c r="H388" s="14">
        <f>IF(A388&lt;&gt;"",A388&amp;"|"&amp;B388&amp;"|"&amp;C388,"")</f>
        <v/>
      </c>
      <c r="I388" s="14">
        <f>E388</f>
        <v/>
      </c>
    </row>
    <row r="389">
      <c r="H389" s="14">
        <f>IF(A389&lt;&gt;"",A389&amp;"|"&amp;B389&amp;"|"&amp;C389,"")</f>
        <v/>
      </c>
      <c r="I389" s="14">
        <f>E389</f>
        <v/>
      </c>
    </row>
    <row r="390">
      <c r="H390" s="14">
        <f>IF(A390&lt;&gt;"",A390&amp;"|"&amp;B390&amp;"|"&amp;C390,"")</f>
        <v/>
      </c>
      <c r="I390" s="14">
        <f>E390</f>
        <v/>
      </c>
    </row>
    <row r="391">
      <c r="H391" s="14">
        <f>IF(A391&lt;&gt;"",A391&amp;"|"&amp;B391&amp;"|"&amp;C391,"")</f>
        <v/>
      </c>
      <c r="I391" s="14">
        <f>E391</f>
        <v/>
      </c>
    </row>
    <row r="392">
      <c r="H392" s="14">
        <f>IF(A392&lt;&gt;"",A392&amp;"|"&amp;B392&amp;"|"&amp;C392,"")</f>
        <v/>
      </c>
      <c r="I392" s="14">
        <f>E392</f>
        <v/>
      </c>
    </row>
    <row r="393">
      <c r="H393" s="14">
        <f>IF(A393&lt;&gt;"",A393&amp;"|"&amp;B393&amp;"|"&amp;C393,"")</f>
        <v/>
      </c>
      <c r="I393" s="14">
        <f>E393</f>
        <v/>
      </c>
    </row>
    <row r="394">
      <c r="H394" s="14">
        <f>IF(A394&lt;&gt;"",A394&amp;"|"&amp;B394&amp;"|"&amp;C394,"")</f>
        <v/>
      </c>
      <c r="I394" s="14">
        <f>E394</f>
        <v/>
      </c>
    </row>
    <row r="395">
      <c r="H395" s="14">
        <f>IF(A395&lt;&gt;"",A395&amp;"|"&amp;B395&amp;"|"&amp;C395,"")</f>
        <v/>
      </c>
      <c r="I395" s="14">
        <f>E395</f>
        <v/>
      </c>
    </row>
    <row r="396">
      <c r="H396" s="14">
        <f>IF(A396&lt;&gt;"",A396&amp;"|"&amp;B396&amp;"|"&amp;C396,"")</f>
        <v/>
      </c>
      <c r="I396" s="14">
        <f>E396</f>
        <v/>
      </c>
    </row>
    <row r="397">
      <c r="H397" s="14">
        <f>IF(A397&lt;&gt;"",A397&amp;"|"&amp;B397&amp;"|"&amp;C397,"")</f>
        <v/>
      </c>
      <c r="I397" s="14">
        <f>E397</f>
        <v/>
      </c>
    </row>
    <row r="398">
      <c r="H398" s="14">
        <f>IF(A398&lt;&gt;"",A398&amp;"|"&amp;B398&amp;"|"&amp;C398,"")</f>
        <v/>
      </c>
      <c r="I398" s="14">
        <f>E398</f>
        <v/>
      </c>
    </row>
    <row r="399">
      <c r="H399" s="14">
        <f>IF(A399&lt;&gt;"",A399&amp;"|"&amp;B399&amp;"|"&amp;C399,"")</f>
        <v/>
      </c>
      <c r="I399" s="14">
        <f>E399</f>
        <v/>
      </c>
    </row>
    <row r="400">
      <c r="H400" s="14">
        <f>IF(A400&lt;&gt;"",A400&amp;"|"&amp;B400&amp;"|"&amp;C400,"")</f>
        <v/>
      </c>
      <c r="I400" s="14">
        <f>E400</f>
        <v/>
      </c>
    </row>
    <row r="401">
      <c r="H401" s="14">
        <f>IF(A401&lt;&gt;"",A401&amp;"|"&amp;B401&amp;"|"&amp;C401,"")</f>
        <v/>
      </c>
      <c r="I401" s="14">
        <f>E401</f>
        <v/>
      </c>
    </row>
    <row r="402">
      <c r="H402" s="14">
        <f>IF(A402&lt;&gt;"",A402&amp;"|"&amp;B402&amp;"|"&amp;C402,"")</f>
        <v/>
      </c>
      <c r="I402" s="14">
        <f>E402</f>
        <v/>
      </c>
    </row>
    <row r="403">
      <c r="H403" s="14">
        <f>IF(A403&lt;&gt;"",A403&amp;"|"&amp;B403&amp;"|"&amp;C403,"")</f>
        <v/>
      </c>
      <c r="I403" s="14">
        <f>E403</f>
        <v/>
      </c>
    </row>
    <row r="404">
      <c r="H404" s="14">
        <f>IF(A404&lt;&gt;"",A404&amp;"|"&amp;B404&amp;"|"&amp;C404,"")</f>
        <v/>
      </c>
      <c r="I404" s="14">
        <f>E404</f>
        <v/>
      </c>
    </row>
    <row r="405">
      <c r="H405" s="14">
        <f>IF(A405&lt;&gt;"",A405&amp;"|"&amp;B405&amp;"|"&amp;C405,"")</f>
        <v/>
      </c>
      <c r="I405" s="14">
        <f>E405</f>
        <v/>
      </c>
    </row>
    <row r="406">
      <c r="H406" s="14">
        <f>IF(A406&lt;&gt;"",A406&amp;"|"&amp;B406&amp;"|"&amp;C406,"")</f>
        <v/>
      </c>
      <c r="I406" s="14">
        <f>E406</f>
        <v/>
      </c>
    </row>
    <row r="407">
      <c r="H407" s="14">
        <f>IF(A407&lt;&gt;"",A407&amp;"|"&amp;B407&amp;"|"&amp;C407,"")</f>
        <v/>
      </c>
      <c r="I407" s="14">
        <f>E407</f>
        <v/>
      </c>
    </row>
    <row r="408">
      <c r="H408" s="14">
        <f>IF(A408&lt;&gt;"",A408&amp;"|"&amp;B408&amp;"|"&amp;C408,"")</f>
        <v/>
      </c>
      <c r="I408" s="14">
        <f>E408</f>
        <v/>
      </c>
    </row>
    <row r="409">
      <c r="H409" s="14">
        <f>IF(A409&lt;&gt;"",A409&amp;"|"&amp;B409&amp;"|"&amp;C409,"")</f>
        <v/>
      </c>
      <c r="I409" s="14">
        <f>E409</f>
        <v/>
      </c>
    </row>
    <row r="410">
      <c r="H410" s="14">
        <f>IF(A410&lt;&gt;"",A410&amp;"|"&amp;B410&amp;"|"&amp;C410,"")</f>
        <v/>
      </c>
      <c r="I410" s="14">
        <f>E410</f>
        <v/>
      </c>
    </row>
    <row r="411">
      <c r="H411" s="14">
        <f>IF(A411&lt;&gt;"",A411&amp;"|"&amp;B411&amp;"|"&amp;C411,"")</f>
        <v/>
      </c>
      <c r="I411" s="14">
        <f>E411</f>
        <v/>
      </c>
    </row>
    <row r="412">
      <c r="H412" s="14">
        <f>IF(A412&lt;&gt;"",A412&amp;"|"&amp;B412&amp;"|"&amp;C412,"")</f>
        <v/>
      </c>
      <c r="I412" s="14">
        <f>E412</f>
        <v/>
      </c>
    </row>
    <row r="413">
      <c r="H413" s="14">
        <f>IF(A413&lt;&gt;"",A413&amp;"|"&amp;B413&amp;"|"&amp;C413,"")</f>
        <v/>
      </c>
      <c r="I413" s="14">
        <f>E413</f>
        <v/>
      </c>
    </row>
    <row r="414">
      <c r="H414" s="14">
        <f>IF(A414&lt;&gt;"",A414&amp;"|"&amp;B414&amp;"|"&amp;C414,"")</f>
        <v/>
      </c>
      <c r="I414" s="14">
        <f>E414</f>
        <v/>
      </c>
    </row>
    <row r="415">
      <c r="H415" s="14">
        <f>IF(A415&lt;&gt;"",A415&amp;"|"&amp;B415&amp;"|"&amp;C415,"")</f>
        <v/>
      </c>
      <c r="I415" s="14">
        <f>E415</f>
        <v/>
      </c>
    </row>
    <row r="416">
      <c r="H416" s="14">
        <f>IF(A416&lt;&gt;"",A416&amp;"|"&amp;B416&amp;"|"&amp;C416,"")</f>
        <v/>
      </c>
      <c r="I416" s="14">
        <f>E416</f>
        <v/>
      </c>
    </row>
    <row r="417">
      <c r="H417" s="14">
        <f>IF(A417&lt;&gt;"",A417&amp;"|"&amp;B417&amp;"|"&amp;C417,"")</f>
        <v/>
      </c>
      <c r="I417" s="14">
        <f>E417</f>
        <v/>
      </c>
    </row>
    <row r="418">
      <c r="H418" s="14">
        <f>IF(A418&lt;&gt;"",A418&amp;"|"&amp;B418&amp;"|"&amp;C418,"")</f>
        <v/>
      </c>
      <c r="I418" s="14">
        <f>E418</f>
        <v/>
      </c>
    </row>
    <row r="419">
      <c r="H419" s="14">
        <f>IF(A419&lt;&gt;"",A419&amp;"|"&amp;B419&amp;"|"&amp;C419,"")</f>
        <v/>
      </c>
      <c r="I419" s="14">
        <f>E419</f>
        <v/>
      </c>
    </row>
    <row r="420">
      <c r="H420" s="14">
        <f>IF(A420&lt;&gt;"",A420&amp;"|"&amp;B420&amp;"|"&amp;C420,"")</f>
        <v/>
      </c>
      <c r="I420" s="14">
        <f>E420</f>
        <v/>
      </c>
    </row>
    <row r="421">
      <c r="H421" s="14">
        <f>IF(A421&lt;&gt;"",A421&amp;"|"&amp;B421&amp;"|"&amp;C421,"")</f>
        <v/>
      </c>
      <c r="I421" s="14">
        <f>E421</f>
        <v/>
      </c>
    </row>
    <row r="422">
      <c r="H422" s="14">
        <f>IF(A422&lt;&gt;"",A422&amp;"|"&amp;B422&amp;"|"&amp;C422,"")</f>
        <v/>
      </c>
      <c r="I422" s="14">
        <f>E422</f>
        <v/>
      </c>
    </row>
    <row r="423">
      <c r="H423" s="14">
        <f>IF(A423&lt;&gt;"",A423&amp;"|"&amp;B423&amp;"|"&amp;C423,"")</f>
        <v/>
      </c>
      <c r="I423" s="14">
        <f>E423</f>
        <v/>
      </c>
    </row>
    <row r="424">
      <c r="H424" s="14">
        <f>IF(A424&lt;&gt;"",A424&amp;"|"&amp;B424&amp;"|"&amp;C424,"")</f>
        <v/>
      </c>
      <c r="I424" s="14">
        <f>E424</f>
        <v/>
      </c>
    </row>
    <row r="425">
      <c r="H425" s="14">
        <f>IF(A425&lt;&gt;"",A425&amp;"|"&amp;B425&amp;"|"&amp;C425,"")</f>
        <v/>
      </c>
      <c r="I425" s="14">
        <f>E425</f>
        <v/>
      </c>
    </row>
    <row r="426">
      <c r="H426" s="14">
        <f>IF(A426&lt;&gt;"",A426&amp;"|"&amp;B426&amp;"|"&amp;C426,"")</f>
        <v/>
      </c>
      <c r="I426" s="14">
        <f>E426</f>
        <v/>
      </c>
    </row>
    <row r="427">
      <c r="H427" s="14">
        <f>IF(A427&lt;&gt;"",A427&amp;"|"&amp;B427&amp;"|"&amp;C427,"")</f>
        <v/>
      </c>
      <c r="I427" s="14">
        <f>E427</f>
        <v/>
      </c>
    </row>
    <row r="428">
      <c r="H428" s="14">
        <f>IF(A428&lt;&gt;"",A428&amp;"|"&amp;B428&amp;"|"&amp;C428,"")</f>
        <v/>
      </c>
      <c r="I428" s="14">
        <f>E428</f>
        <v/>
      </c>
    </row>
    <row r="429">
      <c r="H429" s="14">
        <f>IF(A429&lt;&gt;"",A429&amp;"|"&amp;B429&amp;"|"&amp;C429,"")</f>
        <v/>
      </c>
      <c r="I429" s="14">
        <f>E429</f>
        <v/>
      </c>
    </row>
    <row r="430">
      <c r="H430" s="14">
        <f>IF(A430&lt;&gt;"",A430&amp;"|"&amp;B430&amp;"|"&amp;C430,"")</f>
        <v/>
      </c>
      <c r="I430" s="14">
        <f>E430</f>
        <v/>
      </c>
    </row>
    <row r="431">
      <c r="H431" s="14">
        <f>IF(A431&lt;&gt;"",A431&amp;"|"&amp;B431&amp;"|"&amp;C431,"")</f>
        <v/>
      </c>
      <c r="I431" s="14">
        <f>E431</f>
        <v/>
      </c>
    </row>
    <row r="432">
      <c r="H432" s="14">
        <f>IF(A432&lt;&gt;"",A432&amp;"|"&amp;B432&amp;"|"&amp;C432,"")</f>
        <v/>
      </c>
      <c r="I432" s="14">
        <f>E432</f>
        <v/>
      </c>
    </row>
    <row r="433">
      <c r="H433" s="14">
        <f>IF(A433&lt;&gt;"",A433&amp;"|"&amp;B433&amp;"|"&amp;C433,"")</f>
        <v/>
      </c>
      <c r="I433" s="14">
        <f>E433</f>
        <v/>
      </c>
    </row>
    <row r="434">
      <c r="H434" s="14">
        <f>IF(A434&lt;&gt;"",A434&amp;"|"&amp;B434&amp;"|"&amp;C434,"")</f>
        <v/>
      </c>
      <c r="I434" s="14">
        <f>E434</f>
        <v/>
      </c>
    </row>
    <row r="435">
      <c r="H435" s="14">
        <f>IF(A435&lt;&gt;"",A435&amp;"|"&amp;B435&amp;"|"&amp;C435,"")</f>
        <v/>
      </c>
      <c r="I435" s="14">
        <f>E435</f>
        <v/>
      </c>
    </row>
    <row r="436">
      <c r="H436" s="14">
        <f>IF(A436&lt;&gt;"",A436&amp;"|"&amp;B436&amp;"|"&amp;C436,"")</f>
        <v/>
      </c>
      <c r="I436" s="14">
        <f>E436</f>
        <v/>
      </c>
    </row>
    <row r="437">
      <c r="H437" s="14">
        <f>IF(A437&lt;&gt;"",A437&amp;"|"&amp;B437&amp;"|"&amp;C437,"")</f>
        <v/>
      </c>
      <c r="I437" s="14">
        <f>E437</f>
        <v/>
      </c>
    </row>
    <row r="438">
      <c r="H438" s="14">
        <f>IF(A438&lt;&gt;"",A438&amp;"|"&amp;B438&amp;"|"&amp;C438,"")</f>
        <v/>
      </c>
      <c r="I438" s="14">
        <f>E438</f>
        <v/>
      </c>
    </row>
    <row r="439">
      <c r="H439" s="14">
        <f>IF(A439&lt;&gt;"",A439&amp;"|"&amp;B439&amp;"|"&amp;C439,"")</f>
        <v/>
      </c>
      <c r="I439" s="14">
        <f>E439</f>
        <v/>
      </c>
    </row>
    <row r="440">
      <c r="H440" s="14">
        <f>IF(A440&lt;&gt;"",A440&amp;"|"&amp;B440&amp;"|"&amp;C440,"")</f>
        <v/>
      </c>
      <c r="I440" s="14">
        <f>E440</f>
        <v/>
      </c>
    </row>
    <row r="441">
      <c r="H441" s="14">
        <f>IF(A441&lt;&gt;"",A441&amp;"|"&amp;B441&amp;"|"&amp;C441,"")</f>
        <v/>
      </c>
      <c r="I441" s="14">
        <f>E441</f>
        <v/>
      </c>
    </row>
    <row r="442">
      <c r="H442" s="14">
        <f>IF(A442&lt;&gt;"",A442&amp;"|"&amp;B442&amp;"|"&amp;C442,"")</f>
        <v/>
      </c>
      <c r="I442" s="14">
        <f>E442</f>
        <v/>
      </c>
    </row>
    <row r="443">
      <c r="H443" s="14">
        <f>IF(A443&lt;&gt;"",A443&amp;"|"&amp;B443&amp;"|"&amp;C443,"")</f>
        <v/>
      </c>
      <c r="I443" s="14">
        <f>E443</f>
        <v/>
      </c>
    </row>
    <row r="444">
      <c r="H444" s="14">
        <f>IF(A444&lt;&gt;"",A444&amp;"|"&amp;B444&amp;"|"&amp;C444,"")</f>
        <v/>
      </c>
      <c r="I444" s="14">
        <f>E444</f>
        <v/>
      </c>
    </row>
    <row r="445">
      <c r="H445" s="14">
        <f>IF(A445&lt;&gt;"",A445&amp;"|"&amp;B445&amp;"|"&amp;C445,"")</f>
        <v/>
      </c>
      <c r="I445" s="14">
        <f>E445</f>
        <v/>
      </c>
    </row>
    <row r="446">
      <c r="H446" s="14">
        <f>IF(A446&lt;&gt;"",A446&amp;"|"&amp;B446&amp;"|"&amp;C446,"")</f>
        <v/>
      </c>
      <c r="I446" s="14">
        <f>E446</f>
        <v/>
      </c>
    </row>
    <row r="447">
      <c r="H447" s="14">
        <f>IF(A447&lt;&gt;"",A447&amp;"|"&amp;B447&amp;"|"&amp;C447,"")</f>
        <v/>
      </c>
      <c r="I447" s="14">
        <f>E447</f>
        <v/>
      </c>
    </row>
    <row r="448">
      <c r="H448" s="14">
        <f>IF(A448&lt;&gt;"",A448&amp;"|"&amp;B448&amp;"|"&amp;C448,"")</f>
        <v/>
      </c>
      <c r="I448" s="14">
        <f>E448</f>
        <v/>
      </c>
    </row>
    <row r="449">
      <c r="H449" s="14">
        <f>IF(A449&lt;&gt;"",A449&amp;"|"&amp;B449&amp;"|"&amp;C449,"")</f>
        <v/>
      </c>
      <c r="I449" s="14">
        <f>E449</f>
        <v/>
      </c>
    </row>
    <row r="450">
      <c r="H450" s="14">
        <f>IF(A450&lt;&gt;"",A450&amp;"|"&amp;B450&amp;"|"&amp;C450,"")</f>
        <v/>
      </c>
      <c r="I450" s="14">
        <f>E450</f>
        <v/>
      </c>
    </row>
    <row r="451">
      <c r="H451" s="14">
        <f>IF(A451&lt;&gt;"",A451&amp;"|"&amp;B451&amp;"|"&amp;C451,"")</f>
        <v/>
      </c>
      <c r="I451" s="14">
        <f>E451</f>
        <v/>
      </c>
    </row>
    <row r="452">
      <c r="H452" s="14">
        <f>IF(A452&lt;&gt;"",A452&amp;"|"&amp;B452&amp;"|"&amp;C452,"")</f>
        <v/>
      </c>
      <c r="I452" s="14">
        <f>E452</f>
        <v/>
      </c>
    </row>
    <row r="453">
      <c r="H453" s="14">
        <f>IF(A453&lt;&gt;"",A453&amp;"|"&amp;B453&amp;"|"&amp;C453,"")</f>
        <v/>
      </c>
      <c r="I453" s="14">
        <f>E453</f>
        <v/>
      </c>
    </row>
    <row r="454">
      <c r="H454" s="14">
        <f>IF(A454&lt;&gt;"",A454&amp;"|"&amp;B454&amp;"|"&amp;C454,"")</f>
        <v/>
      </c>
      <c r="I454" s="14">
        <f>E454</f>
        <v/>
      </c>
    </row>
    <row r="455">
      <c r="H455" s="14">
        <f>IF(A455&lt;&gt;"",A455&amp;"|"&amp;B455&amp;"|"&amp;C455,"")</f>
        <v/>
      </c>
      <c r="I455" s="14">
        <f>E455</f>
        <v/>
      </c>
    </row>
    <row r="456">
      <c r="H456" s="14">
        <f>IF(A456&lt;&gt;"",A456&amp;"|"&amp;B456&amp;"|"&amp;C456,"")</f>
        <v/>
      </c>
      <c r="I456" s="14">
        <f>E456</f>
        <v/>
      </c>
    </row>
    <row r="457">
      <c r="H457" s="14">
        <f>IF(A457&lt;&gt;"",A457&amp;"|"&amp;B457&amp;"|"&amp;C457,"")</f>
        <v/>
      </c>
      <c r="I457" s="14">
        <f>E457</f>
        <v/>
      </c>
    </row>
    <row r="458">
      <c r="H458" s="14">
        <f>IF(A458&lt;&gt;"",A458&amp;"|"&amp;B458&amp;"|"&amp;C458,"")</f>
        <v/>
      </c>
      <c r="I458" s="14">
        <f>E458</f>
        <v/>
      </c>
    </row>
    <row r="459">
      <c r="H459" s="14">
        <f>IF(A459&lt;&gt;"",A459&amp;"|"&amp;B459&amp;"|"&amp;C459,"")</f>
        <v/>
      </c>
      <c r="I459" s="14">
        <f>E459</f>
        <v/>
      </c>
    </row>
    <row r="460">
      <c r="H460" s="14">
        <f>IF(A460&lt;&gt;"",A460&amp;"|"&amp;B460&amp;"|"&amp;C460,"")</f>
        <v/>
      </c>
      <c r="I460" s="14">
        <f>E460</f>
        <v/>
      </c>
    </row>
    <row r="461">
      <c r="H461" s="14">
        <f>IF(A461&lt;&gt;"",A461&amp;"|"&amp;B461&amp;"|"&amp;C461,"")</f>
        <v/>
      </c>
      <c r="I461" s="14">
        <f>E461</f>
        <v/>
      </c>
    </row>
    <row r="462">
      <c r="H462" s="14">
        <f>IF(A462&lt;&gt;"",A462&amp;"|"&amp;B462&amp;"|"&amp;C462,"")</f>
        <v/>
      </c>
      <c r="I462" s="14">
        <f>E462</f>
        <v/>
      </c>
    </row>
    <row r="463">
      <c r="H463" s="14">
        <f>IF(A463&lt;&gt;"",A463&amp;"|"&amp;B463&amp;"|"&amp;C463,"")</f>
        <v/>
      </c>
      <c r="I463" s="14">
        <f>E463</f>
        <v/>
      </c>
    </row>
    <row r="464">
      <c r="H464" s="14">
        <f>IF(A464&lt;&gt;"",A464&amp;"|"&amp;B464&amp;"|"&amp;C464,"")</f>
        <v/>
      </c>
      <c r="I464" s="14">
        <f>E464</f>
        <v/>
      </c>
    </row>
    <row r="465">
      <c r="H465" s="14">
        <f>IF(A465&lt;&gt;"",A465&amp;"|"&amp;B465&amp;"|"&amp;C465,"")</f>
        <v/>
      </c>
      <c r="I465" s="14">
        <f>E465</f>
        <v/>
      </c>
    </row>
    <row r="466">
      <c r="H466" s="14">
        <f>IF(A466&lt;&gt;"",A466&amp;"|"&amp;B466&amp;"|"&amp;C466,"")</f>
        <v/>
      </c>
      <c r="I466" s="14">
        <f>E466</f>
        <v/>
      </c>
    </row>
    <row r="467">
      <c r="H467" s="14">
        <f>IF(A467&lt;&gt;"",A467&amp;"|"&amp;B467&amp;"|"&amp;C467,"")</f>
        <v/>
      </c>
      <c r="I467" s="14">
        <f>E467</f>
        <v/>
      </c>
    </row>
    <row r="468">
      <c r="H468" s="14">
        <f>IF(A468&lt;&gt;"",A468&amp;"|"&amp;B468&amp;"|"&amp;C468,"")</f>
        <v/>
      </c>
      <c r="I468" s="14">
        <f>E468</f>
        <v/>
      </c>
    </row>
    <row r="469">
      <c r="H469" s="14">
        <f>IF(A469&lt;&gt;"",A469&amp;"|"&amp;B469&amp;"|"&amp;C469,"")</f>
        <v/>
      </c>
      <c r="I469" s="14">
        <f>E469</f>
        <v/>
      </c>
    </row>
    <row r="470">
      <c r="H470" s="14">
        <f>IF(A470&lt;&gt;"",A470&amp;"|"&amp;B470&amp;"|"&amp;C470,"")</f>
        <v/>
      </c>
      <c r="I470" s="14">
        <f>E470</f>
        <v/>
      </c>
    </row>
    <row r="471">
      <c r="H471" s="14">
        <f>IF(A471&lt;&gt;"",A471&amp;"|"&amp;B471&amp;"|"&amp;C471,"")</f>
        <v/>
      </c>
      <c r="I471" s="14">
        <f>E471</f>
        <v/>
      </c>
    </row>
    <row r="472">
      <c r="H472" s="14">
        <f>IF(A472&lt;&gt;"",A472&amp;"|"&amp;B472&amp;"|"&amp;C472,"")</f>
        <v/>
      </c>
      <c r="I472" s="14">
        <f>E472</f>
        <v/>
      </c>
    </row>
    <row r="473">
      <c r="H473" s="14">
        <f>IF(A473&lt;&gt;"",A473&amp;"|"&amp;B473&amp;"|"&amp;C473,"")</f>
        <v/>
      </c>
      <c r="I473" s="14">
        <f>E473</f>
        <v/>
      </c>
    </row>
    <row r="474">
      <c r="H474" s="14">
        <f>IF(A474&lt;&gt;"",A474&amp;"|"&amp;B474&amp;"|"&amp;C474,"")</f>
        <v/>
      </c>
      <c r="I474" s="14">
        <f>E474</f>
        <v/>
      </c>
    </row>
    <row r="475">
      <c r="H475" s="14">
        <f>IF(A475&lt;&gt;"",A475&amp;"|"&amp;B475&amp;"|"&amp;C475,"")</f>
        <v/>
      </c>
      <c r="I475" s="14">
        <f>E475</f>
        <v/>
      </c>
    </row>
    <row r="476">
      <c r="H476" s="14">
        <f>IF(A476&lt;&gt;"",A476&amp;"|"&amp;B476&amp;"|"&amp;C476,"")</f>
        <v/>
      </c>
      <c r="I476" s="14">
        <f>E476</f>
        <v/>
      </c>
    </row>
    <row r="477">
      <c r="H477" s="14">
        <f>IF(A477&lt;&gt;"",A477&amp;"|"&amp;B477&amp;"|"&amp;C477,"")</f>
        <v/>
      </c>
      <c r="I477" s="14">
        <f>E477</f>
        <v/>
      </c>
    </row>
    <row r="478">
      <c r="H478" s="14">
        <f>IF(A478&lt;&gt;"",A478&amp;"|"&amp;B478&amp;"|"&amp;C478,"")</f>
        <v/>
      </c>
      <c r="I478" s="14">
        <f>E478</f>
        <v/>
      </c>
    </row>
    <row r="479">
      <c r="H479" s="14">
        <f>IF(A479&lt;&gt;"",A479&amp;"|"&amp;B479&amp;"|"&amp;C479,"")</f>
        <v/>
      </c>
      <c r="I479" s="14">
        <f>E479</f>
        <v/>
      </c>
    </row>
    <row r="480">
      <c r="H480" s="14">
        <f>IF(A480&lt;&gt;"",A480&amp;"|"&amp;B480&amp;"|"&amp;C480,"")</f>
        <v/>
      </c>
      <c r="I480" s="14">
        <f>E480</f>
        <v/>
      </c>
    </row>
    <row r="481">
      <c r="H481" s="14">
        <f>IF(A481&lt;&gt;"",A481&amp;"|"&amp;B481&amp;"|"&amp;C481,"")</f>
        <v/>
      </c>
      <c r="I481" s="14">
        <f>E481</f>
        <v/>
      </c>
    </row>
    <row r="482">
      <c r="H482" s="14">
        <f>IF(A482&lt;&gt;"",A482&amp;"|"&amp;B482&amp;"|"&amp;C482,"")</f>
        <v/>
      </c>
      <c r="I482" s="14">
        <f>E482</f>
        <v/>
      </c>
    </row>
    <row r="483">
      <c r="H483" s="14">
        <f>IF(A483&lt;&gt;"",A483&amp;"|"&amp;B483&amp;"|"&amp;C483,"")</f>
        <v/>
      </c>
      <c r="I483" s="14">
        <f>E483</f>
        <v/>
      </c>
    </row>
    <row r="484">
      <c r="H484" s="14">
        <f>IF(A484&lt;&gt;"",A484&amp;"|"&amp;B484&amp;"|"&amp;C484,"")</f>
        <v/>
      </c>
      <c r="I484" s="14">
        <f>E484</f>
        <v/>
      </c>
    </row>
    <row r="485">
      <c r="H485" s="14">
        <f>IF(A485&lt;&gt;"",A485&amp;"|"&amp;B485&amp;"|"&amp;C485,"")</f>
        <v/>
      </c>
      <c r="I485" s="14">
        <f>E485</f>
        <v/>
      </c>
    </row>
    <row r="486">
      <c r="H486" s="14">
        <f>IF(A486&lt;&gt;"",A486&amp;"|"&amp;B486&amp;"|"&amp;C486,"")</f>
        <v/>
      </c>
      <c r="I486" s="14">
        <f>E486</f>
        <v/>
      </c>
    </row>
    <row r="487">
      <c r="H487" s="14">
        <f>IF(A487&lt;&gt;"",A487&amp;"|"&amp;B487&amp;"|"&amp;C487,"")</f>
        <v/>
      </c>
      <c r="I487" s="14">
        <f>E487</f>
        <v/>
      </c>
    </row>
    <row r="488">
      <c r="H488" s="14">
        <f>IF(A488&lt;&gt;"",A488&amp;"|"&amp;B488&amp;"|"&amp;C488,"")</f>
        <v/>
      </c>
      <c r="I488" s="14">
        <f>E488</f>
        <v/>
      </c>
    </row>
    <row r="489">
      <c r="H489" s="14">
        <f>IF(A489&lt;&gt;"",A489&amp;"|"&amp;B489&amp;"|"&amp;C489,"")</f>
        <v/>
      </c>
      <c r="I489" s="14">
        <f>E489</f>
        <v/>
      </c>
    </row>
    <row r="490">
      <c r="H490" s="14">
        <f>IF(A490&lt;&gt;"",A490&amp;"|"&amp;B490&amp;"|"&amp;C490,"")</f>
        <v/>
      </c>
      <c r="I490" s="14">
        <f>E490</f>
        <v/>
      </c>
    </row>
    <row r="491">
      <c r="H491" s="14">
        <f>IF(A491&lt;&gt;"",A491&amp;"|"&amp;B491&amp;"|"&amp;C491,"")</f>
        <v/>
      </c>
      <c r="I491" s="14">
        <f>E491</f>
        <v/>
      </c>
    </row>
    <row r="492">
      <c r="H492" s="14">
        <f>IF(A492&lt;&gt;"",A492&amp;"|"&amp;B492&amp;"|"&amp;C492,"")</f>
        <v/>
      </c>
      <c r="I492" s="14">
        <f>E492</f>
        <v/>
      </c>
    </row>
    <row r="493">
      <c r="H493" s="14">
        <f>IF(A493&lt;&gt;"",A493&amp;"|"&amp;B493&amp;"|"&amp;C493,"")</f>
        <v/>
      </c>
      <c r="I493" s="14">
        <f>E493</f>
        <v/>
      </c>
    </row>
    <row r="494">
      <c r="H494" s="14">
        <f>IF(A494&lt;&gt;"",A494&amp;"|"&amp;B494&amp;"|"&amp;C494,"")</f>
        <v/>
      </c>
      <c r="I494" s="14">
        <f>E494</f>
        <v/>
      </c>
    </row>
    <row r="495">
      <c r="H495" s="14">
        <f>IF(A495&lt;&gt;"",A495&amp;"|"&amp;B495&amp;"|"&amp;C495,"")</f>
        <v/>
      </c>
      <c r="I495" s="14">
        <f>E495</f>
        <v/>
      </c>
    </row>
    <row r="496">
      <c r="H496" s="14">
        <f>IF(A496&lt;&gt;"",A496&amp;"|"&amp;B496&amp;"|"&amp;C496,"")</f>
        <v/>
      </c>
      <c r="I496" s="14">
        <f>E496</f>
        <v/>
      </c>
    </row>
    <row r="497">
      <c r="H497" s="14">
        <f>IF(A497&lt;&gt;"",A497&amp;"|"&amp;B497&amp;"|"&amp;C497,"")</f>
        <v/>
      </c>
      <c r="I497" s="14">
        <f>E497</f>
        <v/>
      </c>
    </row>
    <row r="498">
      <c r="H498" s="14">
        <f>IF(A498&lt;&gt;"",A498&amp;"|"&amp;B498&amp;"|"&amp;C498,"")</f>
        <v/>
      </c>
      <c r="I498" s="14">
        <f>E498</f>
        <v/>
      </c>
    </row>
    <row r="499">
      <c r="H499" s="14">
        <f>IF(A499&lt;&gt;"",A499&amp;"|"&amp;B499&amp;"|"&amp;C499,"")</f>
        <v/>
      </c>
      <c r="I499" s="14">
        <f>E499</f>
        <v/>
      </c>
    </row>
  </sheetData>
  <dataValidations count="1">
    <dataValidation sqref="E2:E500" showDropDown="0" showInputMessage="0" showErrorMessage="0" allowBlank="1" type="list">
      <formula1>=Staff!$A$2:$A$200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8" customWidth="1" min="4" max="4"/>
    <col width="22" customWidth="1" min="5" max="5"/>
    <col width="2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8" customWidth="1" min="12" max="12"/>
    <col width="2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30" customHeight="1">
      <c r="A1" s="9" t="inlineStr">
        <is>
          <t>Date</t>
        </is>
      </c>
      <c r="B1" s="9" t="inlineStr">
        <is>
          <t>Client</t>
        </is>
      </c>
      <c r="C1" s="9" t="inlineStr">
        <is>
          <t>Ad_Account</t>
        </is>
      </c>
      <c r="D1" s="9" t="inlineStr">
        <is>
          <t>Campaign</t>
        </is>
      </c>
      <c r="E1" s="9" t="inlineStr">
        <is>
          <t>Ad_Set</t>
        </is>
      </c>
      <c r="F1" s="9" t="inlineStr">
        <is>
          <t>Ad</t>
        </is>
      </c>
      <c r="G1" s="9" t="inlineStr">
        <is>
          <t>Spend</t>
        </is>
      </c>
      <c r="H1" s="9" t="inlineStr">
        <is>
          <t>Impressions</t>
        </is>
      </c>
      <c r="I1" s="9" t="inlineStr">
        <is>
          <t>Clicks</t>
        </is>
      </c>
      <c r="J1" s="9" t="inlineStr">
        <is>
          <t>Conversions</t>
        </is>
      </c>
      <c r="K1" s="9" t="inlineStr">
        <is>
          <t>Revenue</t>
        </is>
      </c>
      <c r="L1" s="9" t="inlineStr">
        <is>
          <t>Owner_Staff_ID (auto)</t>
        </is>
      </c>
      <c r="M1" s="9" t="inlineStr">
        <is>
          <t>Key (auto)</t>
        </is>
      </c>
      <c r="N1" s="9" t="inlineStr">
        <is>
          <t>CTR (auto)</t>
        </is>
      </c>
      <c r="O1" s="9" t="inlineStr">
        <is>
          <t>CPC (auto)</t>
        </is>
      </c>
      <c r="P1" s="9" t="inlineStr">
        <is>
          <t>CPM (auto)</t>
        </is>
      </c>
      <c r="Q1" s="9" t="inlineStr">
        <is>
          <t>CPA (auto)</t>
        </is>
      </c>
      <c r="R1" s="9" t="inlineStr">
        <is>
          <t>ROAS (auto)</t>
        </is>
      </c>
    </row>
    <row r="2">
      <c r="A2" s="10" t="n">
        <v>46040</v>
      </c>
      <c r="B2" s="3" t="inlineStr">
        <is>
          <t>Acme Fitness</t>
        </is>
      </c>
      <c r="C2" s="3" t="inlineStr">
        <is>
          <t>Acme_US</t>
        </is>
      </c>
      <c r="D2" s="3" t="inlineStr">
        <is>
          <t>Prospecting - Broad</t>
        </is>
      </c>
      <c r="E2" s="3" t="inlineStr">
        <is>
          <t>AS1</t>
        </is>
      </c>
      <c r="F2" s="3" t="inlineStr">
        <is>
          <t>Ad 1</t>
        </is>
      </c>
      <c r="G2" s="15" t="n">
        <v>120.5</v>
      </c>
      <c r="H2" s="3" t="n">
        <v>45000</v>
      </c>
      <c r="I2" s="3" t="n">
        <v>620</v>
      </c>
      <c r="J2" s="3" t="n">
        <v>18</v>
      </c>
      <c r="K2" s="15" t="n">
        <v>720</v>
      </c>
      <c r="L2" s="13">
        <f>IFERROR(VLOOKUP(M2,Ads_Mapping!$H$2:$I$499,2,FALSE),"Unmapped")</f>
        <v/>
      </c>
      <c r="M2" s="13">
        <f>IF(B2&lt;&gt;"",B2&amp;"|"&amp;C2&amp;"|"&amp;D2,"")</f>
        <v/>
      </c>
      <c r="N2" s="16">
        <f>IFERROR(I2/H2,"")</f>
        <v/>
      </c>
      <c r="O2" s="17">
        <f>IFERROR(G2/I2,"")</f>
        <v/>
      </c>
      <c r="P2" s="17">
        <f>IFERROR(G2/H2*1000,"")</f>
        <v/>
      </c>
      <c r="Q2" s="17">
        <f>IFERROR(G2/J2,"")</f>
        <v/>
      </c>
      <c r="R2" s="18">
        <f>IFERROR(K2/G2,"")</f>
        <v/>
      </c>
    </row>
    <row r="3">
      <c r="A3" s="10" t="n">
        <v>46040</v>
      </c>
      <c r="B3" s="3" t="inlineStr">
        <is>
          <t>Acme Fitness</t>
        </is>
      </c>
      <c r="C3" s="3" t="inlineStr">
        <is>
          <t>Acme_US</t>
        </is>
      </c>
      <c r="D3" s="3" t="inlineStr">
        <is>
          <t>Retargeting - 30d</t>
        </is>
      </c>
      <c r="E3" s="3" t="inlineStr">
        <is>
          <t>AS2</t>
        </is>
      </c>
      <c r="F3" s="3" t="inlineStr">
        <is>
          <t>Ad 2</t>
        </is>
      </c>
      <c r="G3" s="15" t="n">
        <v>80</v>
      </c>
      <c r="H3" s="3" t="n">
        <v>18000</v>
      </c>
      <c r="I3" s="3" t="n">
        <v>260</v>
      </c>
      <c r="J3" s="3" t="n">
        <v>20</v>
      </c>
      <c r="K3" s="15" t="n">
        <v>900</v>
      </c>
      <c r="L3" s="13">
        <f>IFERROR(VLOOKUP(M3,Ads_Mapping!$H$2:$I$499,2,FALSE),"Unmapped")</f>
        <v/>
      </c>
      <c r="M3" s="13">
        <f>IF(B3&lt;&gt;"",B3&amp;"|"&amp;C3&amp;"|"&amp;D3,"")</f>
        <v/>
      </c>
      <c r="N3" s="16">
        <f>IFERROR(I3/H3,"")</f>
        <v/>
      </c>
      <c r="O3" s="17">
        <f>IFERROR(G3/I3,"")</f>
        <v/>
      </c>
      <c r="P3" s="17">
        <f>IFERROR(G3/H3*1000,"")</f>
        <v/>
      </c>
      <c r="Q3" s="17">
        <f>IFERROR(G3/J3,"")</f>
        <v/>
      </c>
      <c r="R3" s="18">
        <f>IFERROR(K3/G3,"")</f>
        <v/>
      </c>
    </row>
    <row r="4">
      <c r="A4" s="10" t="n"/>
      <c r="B4" s="3" t="n"/>
      <c r="C4" s="3" t="n"/>
      <c r="D4" s="3" t="n"/>
      <c r="E4" s="3" t="n"/>
      <c r="F4" s="3" t="n"/>
      <c r="G4" s="15" t="n"/>
      <c r="H4" s="3" t="n"/>
      <c r="I4" s="3" t="n"/>
      <c r="J4" s="3" t="n"/>
      <c r="K4" s="15" t="n"/>
      <c r="L4" s="13">
        <f>IFERROR(VLOOKUP(M4,Ads_Mapping!$H$2:$I$499,2,FALSE),"Unmapped")</f>
        <v/>
      </c>
      <c r="M4" s="13">
        <f>IF(B4&lt;&gt;"",B4&amp;"|"&amp;C4&amp;"|"&amp;D4,"")</f>
        <v/>
      </c>
      <c r="N4" s="16">
        <f>IFERROR(I4/H4,"")</f>
        <v/>
      </c>
      <c r="O4" s="17">
        <f>IFERROR(G4/I4,"")</f>
        <v/>
      </c>
      <c r="P4" s="17">
        <f>IFERROR(G4/H4*1000,"")</f>
        <v/>
      </c>
      <c r="Q4" s="17">
        <f>IFERROR(G4/J4,"")</f>
        <v/>
      </c>
      <c r="R4" s="18">
        <f>IFERROR(K4/G4,"")</f>
        <v/>
      </c>
    </row>
    <row r="5">
      <c r="A5" s="10" t="n"/>
      <c r="B5" s="3" t="n"/>
      <c r="C5" s="3" t="n"/>
      <c r="D5" s="3" t="n"/>
      <c r="E5" s="3" t="n"/>
      <c r="F5" s="3" t="n"/>
      <c r="G5" s="15" t="n"/>
      <c r="H5" s="3" t="n"/>
      <c r="I5" s="3" t="n"/>
      <c r="J5" s="3" t="n"/>
      <c r="K5" s="15" t="n"/>
      <c r="L5" s="13">
        <f>IFERROR(VLOOKUP(M5,Ads_Mapping!$H$2:$I$499,2,FALSE),"Unmapped")</f>
        <v/>
      </c>
      <c r="M5" s="13">
        <f>IF(B5&lt;&gt;"",B5&amp;"|"&amp;C5&amp;"|"&amp;D5,"")</f>
        <v/>
      </c>
      <c r="N5" s="16">
        <f>IFERROR(I5/H5,"")</f>
        <v/>
      </c>
      <c r="O5" s="17">
        <f>IFERROR(G5/I5,"")</f>
        <v/>
      </c>
      <c r="P5" s="17">
        <f>IFERROR(G5/H5*1000,"")</f>
        <v/>
      </c>
      <c r="Q5" s="17">
        <f>IFERROR(G5/J5,"")</f>
        <v/>
      </c>
      <c r="R5" s="18">
        <f>IFERROR(K5/G5,"")</f>
        <v/>
      </c>
    </row>
    <row r="6">
      <c r="A6" s="10" t="n"/>
      <c r="B6" s="3" t="n"/>
      <c r="C6" s="3" t="n"/>
      <c r="D6" s="3" t="n"/>
      <c r="E6" s="3" t="n"/>
      <c r="F6" s="3" t="n"/>
      <c r="G6" s="15" t="n"/>
      <c r="H6" s="3" t="n"/>
      <c r="I6" s="3" t="n"/>
      <c r="J6" s="3" t="n"/>
      <c r="K6" s="15" t="n"/>
      <c r="L6" s="13">
        <f>IFERROR(VLOOKUP(M6,Ads_Mapping!$H$2:$I$499,2,FALSE),"Unmapped")</f>
        <v/>
      </c>
      <c r="M6" s="13">
        <f>IF(B6&lt;&gt;"",B6&amp;"|"&amp;C6&amp;"|"&amp;D6,"")</f>
        <v/>
      </c>
      <c r="N6" s="16">
        <f>IFERROR(I6/H6,"")</f>
        <v/>
      </c>
      <c r="O6" s="17">
        <f>IFERROR(G6/I6,"")</f>
        <v/>
      </c>
      <c r="P6" s="17">
        <f>IFERROR(G6/H6*1000,"")</f>
        <v/>
      </c>
      <c r="Q6" s="17">
        <f>IFERROR(G6/J6,"")</f>
        <v/>
      </c>
      <c r="R6" s="18">
        <f>IFERROR(K6/G6,"")</f>
        <v/>
      </c>
    </row>
    <row r="7">
      <c r="A7" s="10" t="n"/>
      <c r="B7" s="3" t="n"/>
      <c r="C7" s="3" t="n"/>
      <c r="D7" s="3" t="n"/>
      <c r="E7" s="3" t="n"/>
      <c r="F7" s="3" t="n"/>
      <c r="G7" s="15" t="n"/>
      <c r="H7" s="3" t="n"/>
      <c r="I7" s="3" t="n"/>
      <c r="J7" s="3" t="n"/>
      <c r="K7" s="15" t="n"/>
      <c r="L7" s="13">
        <f>IFERROR(VLOOKUP(M7,Ads_Mapping!$H$2:$I$499,2,FALSE),"Unmapped")</f>
        <v/>
      </c>
      <c r="M7" s="13">
        <f>IF(B7&lt;&gt;"",B7&amp;"|"&amp;C7&amp;"|"&amp;D7,"")</f>
        <v/>
      </c>
      <c r="N7" s="16">
        <f>IFERROR(I7/H7,"")</f>
        <v/>
      </c>
      <c r="O7" s="17">
        <f>IFERROR(G7/I7,"")</f>
        <v/>
      </c>
      <c r="P7" s="17">
        <f>IFERROR(G7/H7*1000,"")</f>
        <v/>
      </c>
      <c r="Q7" s="17">
        <f>IFERROR(G7/J7,"")</f>
        <v/>
      </c>
      <c r="R7" s="18">
        <f>IFERROR(K7/G7,"")</f>
        <v/>
      </c>
    </row>
    <row r="8">
      <c r="A8" s="10" t="n"/>
      <c r="B8" s="3" t="n"/>
      <c r="C8" s="3" t="n"/>
      <c r="D8" s="3" t="n"/>
      <c r="E8" s="3" t="n"/>
      <c r="F8" s="3" t="n"/>
      <c r="G8" s="15" t="n"/>
      <c r="H8" s="3" t="n"/>
      <c r="I8" s="3" t="n"/>
      <c r="J8" s="3" t="n"/>
      <c r="K8" s="15" t="n"/>
      <c r="L8" s="13">
        <f>IFERROR(VLOOKUP(M8,Ads_Mapping!$H$2:$I$499,2,FALSE),"Unmapped")</f>
        <v/>
      </c>
      <c r="M8" s="13">
        <f>IF(B8&lt;&gt;"",B8&amp;"|"&amp;C8&amp;"|"&amp;D8,"")</f>
        <v/>
      </c>
      <c r="N8" s="16">
        <f>IFERROR(I8/H8,"")</f>
        <v/>
      </c>
      <c r="O8" s="17">
        <f>IFERROR(G8/I8,"")</f>
        <v/>
      </c>
      <c r="P8" s="17">
        <f>IFERROR(G8/H8*1000,"")</f>
        <v/>
      </c>
      <c r="Q8" s="17">
        <f>IFERROR(G8/J8,"")</f>
        <v/>
      </c>
      <c r="R8" s="18">
        <f>IFERROR(K8/G8,"")</f>
        <v/>
      </c>
    </row>
    <row r="9">
      <c r="A9" s="10" t="n"/>
      <c r="B9" s="3" t="n"/>
      <c r="C9" s="3" t="n"/>
      <c r="D9" s="3" t="n"/>
      <c r="E9" s="3" t="n"/>
      <c r="F9" s="3" t="n"/>
      <c r="G9" s="15" t="n"/>
      <c r="H9" s="3" t="n"/>
      <c r="I9" s="3" t="n"/>
      <c r="J9" s="3" t="n"/>
      <c r="K9" s="15" t="n"/>
      <c r="L9" s="13">
        <f>IFERROR(VLOOKUP(M9,Ads_Mapping!$H$2:$I$499,2,FALSE),"Unmapped")</f>
        <v/>
      </c>
      <c r="M9" s="13">
        <f>IF(B9&lt;&gt;"",B9&amp;"|"&amp;C9&amp;"|"&amp;D9,"")</f>
        <v/>
      </c>
      <c r="N9" s="16">
        <f>IFERROR(I9/H9,"")</f>
        <v/>
      </c>
      <c r="O9" s="17">
        <f>IFERROR(G9/I9,"")</f>
        <v/>
      </c>
      <c r="P9" s="17">
        <f>IFERROR(G9/H9*1000,"")</f>
        <v/>
      </c>
      <c r="Q9" s="17">
        <f>IFERROR(G9/J9,"")</f>
        <v/>
      </c>
      <c r="R9" s="18">
        <f>IFERROR(K9/G9,"")</f>
        <v/>
      </c>
    </row>
    <row r="10">
      <c r="A10" s="10" t="n"/>
      <c r="B10" s="3" t="n"/>
      <c r="C10" s="3" t="n"/>
      <c r="D10" s="3" t="n"/>
      <c r="E10" s="3" t="n"/>
      <c r="F10" s="3" t="n"/>
      <c r="G10" s="15" t="n"/>
      <c r="H10" s="3" t="n"/>
      <c r="I10" s="3" t="n"/>
      <c r="J10" s="3" t="n"/>
      <c r="K10" s="15" t="n"/>
      <c r="L10" s="13">
        <f>IFERROR(VLOOKUP(M10,Ads_Mapping!$H$2:$I$499,2,FALSE),"Unmapped")</f>
        <v/>
      </c>
      <c r="M10" s="13">
        <f>IF(B10&lt;&gt;"",B10&amp;"|"&amp;C10&amp;"|"&amp;D10,"")</f>
        <v/>
      </c>
      <c r="N10" s="16">
        <f>IFERROR(I10/H10,"")</f>
        <v/>
      </c>
      <c r="O10" s="17">
        <f>IFERROR(G10/I10,"")</f>
        <v/>
      </c>
      <c r="P10" s="17">
        <f>IFERROR(G10/H10*1000,"")</f>
        <v/>
      </c>
      <c r="Q10" s="17">
        <f>IFERROR(G10/J10,"")</f>
        <v/>
      </c>
      <c r="R10" s="18">
        <f>IFERROR(K10/G10,"")</f>
        <v/>
      </c>
    </row>
    <row r="11">
      <c r="A11" s="10" t="n"/>
      <c r="B11" s="3" t="n"/>
      <c r="C11" s="3" t="n"/>
      <c r="D11" s="3" t="n"/>
      <c r="E11" s="3" t="n"/>
      <c r="F11" s="3" t="n"/>
      <c r="G11" s="15" t="n"/>
      <c r="H11" s="3" t="n"/>
      <c r="I11" s="3" t="n"/>
      <c r="J11" s="3" t="n"/>
      <c r="K11" s="15" t="n"/>
      <c r="L11" s="13">
        <f>IFERROR(VLOOKUP(M11,Ads_Mapping!$H$2:$I$499,2,FALSE),"Unmapped")</f>
        <v/>
      </c>
      <c r="M11" s="13">
        <f>IF(B11&lt;&gt;"",B11&amp;"|"&amp;C11&amp;"|"&amp;D11,"")</f>
        <v/>
      </c>
      <c r="N11" s="16">
        <f>IFERROR(I11/H11,"")</f>
        <v/>
      </c>
      <c r="O11" s="17">
        <f>IFERROR(G11/I11,"")</f>
        <v/>
      </c>
      <c r="P11" s="17">
        <f>IFERROR(G11/H11*1000,"")</f>
        <v/>
      </c>
      <c r="Q11" s="17">
        <f>IFERROR(G11/J11,"")</f>
        <v/>
      </c>
      <c r="R11" s="18">
        <f>IFERROR(K11/G11,"")</f>
        <v/>
      </c>
    </row>
    <row r="12">
      <c r="A12" s="10" t="n"/>
      <c r="B12" s="3" t="n"/>
      <c r="C12" s="3" t="n"/>
      <c r="D12" s="3" t="n"/>
      <c r="E12" s="3" t="n"/>
      <c r="F12" s="3" t="n"/>
      <c r="G12" s="15" t="n"/>
      <c r="H12" s="3" t="n"/>
      <c r="I12" s="3" t="n"/>
      <c r="J12" s="3" t="n"/>
      <c r="K12" s="15" t="n"/>
      <c r="L12" s="13">
        <f>IFERROR(VLOOKUP(M12,Ads_Mapping!$H$2:$I$499,2,FALSE),"Unmapped")</f>
        <v/>
      </c>
      <c r="M12" s="13">
        <f>IF(B12&lt;&gt;"",B12&amp;"|"&amp;C12&amp;"|"&amp;D12,"")</f>
        <v/>
      </c>
      <c r="N12" s="16">
        <f>IFERROR(I12/H12,"")</f>
        <v/>
      </c>
      <c r="O12" s="17">
        <f>IFERROR(G12/I12,"")</f>
        <v/>
      </c>
      <c r="P12" s="17">
        <f>IFERROR(G12/H12*1000,"")</f>
        <v/>
      </c>
      <c r="Q12" s="17">
        <f>IFERROR(G12/J12,"")</f>
        <v/>
      </c>
      <c r="R12" s="18">
        <f>IFERROR(K12/G12,"")</f>
        <v/>
      </c>
    </row>
    <row r="13">
      <c r="A13" s="10" t="n"/>
      <c r="B13" s="3" t="n"/>
      <c r="C13" s="3" t="n"/>
      <c r="D13" s="3" t="n"/>
      <c r="E13" s="3" t="n"/>
      <c r="F13" s="3" t="n"/>
      <c r="G13" s="15" t="n"/>
      <c r="H13" s="3" t="n"/>
      <c r="I13" s="3" t="n"/>
      <c r="J13" s="3" t="n"/>
      <c r="K13" s="15" t="n"/>
      <c r="L13" s="13">
        <f>IFERROR(VLOOKUP(M13,Ads_Mapping!$H$2:$I$499,2,FALSE),"Unmapped")</f>
        <v/>
      </c>
      <c r="M13" s="13">
        <f>IF(B13&lt;&gt;"",B13&amp;"|"&amp;C13&amp;"|"&amp;D13,"")</f>
        <v/>
      </c>
      <c r="N13" s="16">
        <f>IFERROR(I13/H13,"")</f>
        <v/>
      </c>
      <c r="O13" s="17">
        <f>IFERROR(G13/I13,"")</f>
        <v/>
      </c>
      <c r="P13" s="17">
        <f>IFERROR(G13/H13*1000,"")</f>
        <v/>
      </c>
      <c r="Q13" s="17">
        <f>IFERROR(G13/J13,"")</f>
        <v/>
      </c>
      <c r="R13" s="18">
        <f>IFERROR(K13/G13,"")</f>
        <v/>
      </c>
    </row>
    <row r="14">
      <c r="A14" s="10" t="n"/>
      <c r="B14" s="3" t="n"/>
      <c r="C14" s="3" t="n"/>
      <c r="D14" s="3" t="n"/>
      <c r="E14" s="3" t="n"/>
      <c r="F14" s="3" t="n"/>
      <c r="G14" s="15" t="n"/>
      <c r="H14" s="3" t="n"/>
      <c r="I14" s="3" t="n"/>
      <c r="J14" s="3" t="n"/>
      <c r="K14" s="15" t="n"/>
      <c r="L14" s="13">
        <f>IFERROR(VLOOKUP(M14,Ads_Mapping!$H$2:$I$499,2,FALSE),"Unmapped")</f>
        <v/>
      </c>
      <c r="M14" s="13">
        <f>IF(B14&lt;&gt;"",B14&amp;"|"&amp;C14&amp;"|"&amp;D14,"")</f>
        <v/>
      </c>
      <c r="N14" s="16">
        <f>IFERROR(I14/H14,"")</f>
        <v/>
      </c>
      <c r="O14" s="17">
        <f>IFERROR(G14/I14,"")</f>
        <v/>
      </c>
      <c r="P14" s="17">
        <f>IFERROR(G14/H14*1000,"")</f>
        <v/>
      </c>
      <c r="Q14" s="17">
        <f>IFERROR(G14/J14,"")</f>
        <v/>
      </c>
      <c r="R14" s="18">
        <f>IFERROR(K14/G14,"")</f>
        <v/>
      </c>
    </row>
    <row r="15">
      <c r="A15" s="10" t="n"/>
      <c r="B15" s="3" t="n"/>
      <c r="C15" s="3" t="n"/>
      <c r="D15" s="3" t="n"/>
      <c r="E15" s="3" t="n"/>
      <c r="F15" s="3" t="n"/>
      <c r="G15" s="15" t="n"/>
      <c r="H15" s="3" t="n"/>
      <c r="I15" s="3" t="n"/>
      <c r="J15" s="3" t="n"/>
      <c r="K15" s="15" t="n"/>
      <c r="L15" s="13">
        <f>IFERROR(VLOOKUP(M15,Ads_Mapping!$H$2:$I$499,2,FALSE),"Unmapped")</f>
        <v/>
      </c>
      <c r="M15" s="13">
        <f>IF(B15&lt;&gt;"",B15&amp;"|"&amp;C15&amp;"|"&amp;D15,"")</f>
        <v/>
      </c>
      <c r="N15" s="16">
        <f>IFERROR(I15/H15,"")</f>
        <v/>
      </c>
      <c r="O15" s="17">
        <f>IFERROR(G15/I15,"")</f>
        <v/>
      </c>
      <c r="P15" s="17">
        <f>IFERROR(G15/H15*1000,"")</f>
        <v/>
      </c>
      <c r="Q15" s="17">
        <f>IFERROR(G15/J15,"")</f>
        <v/>
      </c>
      <c r="R15" s="18">
        <f>IFERROR(K15/G15,"")</f>
        <v/>
      </c>
    </row>
    <row r="16">
      <c r="A16" s="10" t="n"/>
      <c r="B16" s="3" t="n"/>
      <c r="C16" s="3" t="n"/>
      <c r="D16" s="3" t="n"/>
      <c r="E16" s="3" t="n"/>
      <c r="F16" s="3" t="n"/>
      <c r="G16" s="15" t="n"/>
      <c r="H16" s="3" t="n"/>
      <c r="I16" s="3" t="n"/>
      <c r="J16" s="3" t="n"/>
      <c r="K16" s="15" t="n"/>
      <c r="L16" s="13">
        <f>IFERROR(VLOOKUP(M16,Ads_Mapping!$H$2:$I$499,2,FALSE),"Unmapped")</f>
        <v/>
      </c>
      <c r="M16" s="13">
        <f>IF(B16&lt;&gt;"",B16&amp;"|"&amp;C16&amp;"|"&amp;D16,"")</f>
        <v/>
      </c>
      <c r="N16" s="16">
        <f>IFERROR(I16/H16,"")</f>
        <v/>
      </c>
      <c r="O16" s="17">
        <f>IFERROR(G16/I16,"")</f>
        <v/>
      </c>
      <c r="P16" s="17">
        <f>IFERROR(G16/H16*1000,"")</f>
        <v/>
      </c>
      <c r="Q16" s="17">
        <f>IFERROR(G16/J16,"")</f>
        <v/>
      </c>
      <c r="R16" s="18">
        <f>IFERROR(K16/G16,"")</f>
        <v/>
      </c>
    </row>
    <row r="17">
      <c r="A17" s="10" t="n"/>
      <c r="B17" s="3" t="n"/>
      <c r="C17" s="3" t="n"/>
      <c r="D17" s="3" t="n"/>
      <c r="E17" s="3" t="n"/>
      <c r="F17" s="3" t="n"/>
      <c r="G17" s="15" t="n"/>
      <c r="H17" s="3" t="n"/>
      <c r="I17" s="3" t="n"/>
      <c r="J17" s="3" t="n"/>
      <c r="K17" s="15" t="n"/>
      <c r="L17" s="13">
        <f>IFERROR(VLOOKUP(M17,Ads_Mapping!$H$2:$I$499,2,FALSE),"Unmapped")</f>
        <v/>
      </c>
      <c r="M17" s="13">
        <f>IF(B17&lt;&gt;"",B17&amp;"|"&amp;C17&amp;"|"&amp;D17,"")</f>
        <v/>
      </c>
      <c r="N17" s="16">
        <f>IFERROR(I17/H17,"")</f>
        <v/>
      </c>
      <c r="O17" s="17">
        <f>IFERROR(G17/I17,"")</f>
        <v/>
      </c>
      <c r="P17" s="17">
        <f>IFERROR(G17/H17*1000,"")</f>
        <v/>
      </c>
      <c r="Q17" s="17">
        <f>IFERROR(G17/J17,"")</f>
        <v/>
      </c>
      <c r="R17" s="18">
        <f>IFERROR(K17/G17,"")</f>
        <v/>
      </c>
    </row>
    <row r="18">
      <c r="A18" s="10" t="n"/>
      <c r="B18" s="3" t="n"/>
      <c r="C18" s="3" t="n"/>
      <c r="D18" s="3" t="n"/>
      <c r="E18" s="3" t="n"/>
      <c r="F18" s="3" t="n"/>
      <c r="G18" s="15" t="n"/>
      <c r="H18" s="3" t="n"/>
      <c r="I18" s="3" t="n"/>
      <c r="J18" s="3" t="n"/>
      <c r="K18" s="15" t="n"/>
      <c r="L18" s="13">
        <f>IFERROR(VLOOKUP(M18,Ads_Mapping!$H$2:$I$499,2,FALSE),"Unmapped")</f>
        <v/>
      </c>
      <c r="M18" s="13">
        <f>IF(B18&lt;&gt;"",B18&amp;"|"&amp;C18&amp;"|"&amp;D18,"")</f>
        <v/>
      </c>
      <c r="N18" s="16">
        <f>IFERROR(I18/H18,"")</f>
        <v/>
      </c>
      <c r="O18" s="17">
        <f>IFERROR(G18/I18,"")</f>
        <v/>
      </c>
      <c r="P18" s="17">
        <f>IFERROR(G18/H18*1000,"")</f>
        <v/>
      </c>
      <c r="Q18" s="17">
        <f>IFERROR(G18/J18,"")</f>
        <v/>
      </c>
      <c r="R18" s="18">
        <f>IFERROR(K18/G18,"")</f>
        <v/>
      </c>
    </row>
    <row r="19">
      <c r="A19" s="10" t="n"/>
      <c r="B19" s="3" t="n"/>
      <c r="C19" s="3" t="n"/>
      <c r="D19" s="3" t="n"/>
      <c r="E19" s="3" t="n"/>
      <c r="F19" s="3" t="n"/>
      <c r="G19" s="15" t="n"/>
      <c r="H19" s="3" t="n"/>
      <c r="I19" s="3" t="n"/>
      <c r="J19" s="3" t="n"/>
      <c r="K19" s="15" t="n"/>
      <c r="L19" s="13">
        <f>IFERROR(VLOOKUP(M19,Ads_Mapping!$H$2:$I$499,2,FALSE),"Unmapped")</f>
        <v/>
      </c>
      <c r="M19" s="13">
        <f>IF(B19&lt;&gt;"",B19&amp;"|"&amp;C19&amp;"|"&amp;D19,"")</f>
        <v/>
      </c>
      <c r="N19" s="16">
        <f>IFERROR(I19/H19,"")</f>
        <v/>
      </c>
      <c r="O19" s="17">
        <f>IFERROR(G19/I19,"")</f>
        <v/>
      </c>
      <c r="P19" s="17">
        <f>IFERROR(G19/H19*1000,"")</f>
        <v/>
      </c>
      <c r="Q19" s="17">
        <f>IFERROR(G19/J19,"")</f>
        <v/>
      </c>
      <c r="R19" s="18">
        <f>IFERROR(K19/G19,"")</f>
        <v/>
      </c>
    </row>
    <row r="20">
      <c r="A20" s="10" t="n"/>
      <c r="B20" s="3" t="n"/>
      <c r="C20" s="3" t="n"/>
      <c r="D20" s="3" t="n"/>
      <c r="E20" s="3" t="n"/>
      <c r="F20" s="3" t="n"/>
      <c r="G20" s="15" t="n"/>
      <c r="H20" s="3" t="n"/>
      <c r="I20" s="3" t="n"/>
      <c r="J20" s="3" t="n"/>
      <c r="K20" s="15" t="n"/>
      <c r="L20" s="13">
        <f>IFERROR(VLOOKUP(M20,Ads_Mapping!$H$2:$I$499,2,FALSE),"Unmapped")</f>
        <v/>
      </c>
      <c r="M20" s="13">
        <f>IF(B20&lt;&gt;"",B20&amp;"|"&amp;C20&amp;"|"&amp;D20,"")</f>
        <v/>
      </c>
      <c r="N20" s="16">
        <f>IFERROR(I20/H20,"")</f>
        <v/>
      </c>
      <c r="O20" s="17">
        <f>IFERROR(G20/I20,"")</f>
        <v/>
      </c>
      <c r="P20" s="17">
        <f>IFERROR(G20/H20*1000,"")</f>
        <v/>
      </c>
      <c r="Q20" s="17">
        <f>IFERROR(G20/J20,"")</f>
        <v/>
      </c>
      <c r="R20" s="18">
        <f>IFERROR(K20/G20,"")</f>
        <v/>
      </c>
    </row>
    <row r="21">
      <c r="A21" s="11" t="n"/>
      <c r="G21" s="19" t="n"/>
      <c r="K21" s="19" t="n"/>
      <c r="L21" s="14">
        <f>IFERROR(VLOOKUP(M21,Ads_Mapping!$H$2:$I$499,2,FALSE),"Unmapped")</f>
        <v/>
      </c>
      <c r="M21" s="14">
        <f>IF(B21&lt;&gt;"",B21&amp;"|"&amp;C21&amp;"|"&amp;D21,"")</f>
        <v/>
      </c>
      <c r="N21" s="20">
        <f>IFERROR(I21/H21,"")</f>
        <v/>
      </c>
      <c r="O21" s="21">
        <f>IFERROR(G21/I21,"")</f>
        <v/>
      </c>
      <c r="P21" s="21">
        <f>IFERROR(G21/H21*1000,"")</f>
        <v/>
      </c>
      <c r="Q21" s="21">
        <f>IFERROR(G21/J21,"")</f>
        <v/>
      </c>
      <c r="R21" s="22">
        <f>IFERROR(K21/G21,"")</f>
        <v/>
      </c>
    </row>
    <row r="22">
      <c r="A22" s="11" t="n"/>
      <c r="G22" s="19" t="n"/>
      <c r="K22" s="19" t="n"/>
      <c r="L22" s="14">
        <f>IFERROR(VLOOKUP(M22,Ads_Mapping!$H$2:$I$499,2,FALSE),"Unmapped")</f>
        <v/>
      </c>
      <c r="M22" s="14">
        <f>IF(B22&lt;&gt;"",B22&amp;"|"&amp;C22&amp;"|"&amp;D22,"")</f>
        <v/>
      </c>
      <c r="N22" s="20">
        <f>IFERROR(I22/H22,"")</f>
        <v/>
      </c>
      <c r="O22" s="21">
        <f>IFERROR(G22/I22,"")</f>
        <v/>
      </c>
      <c r="P22" s="21">
        <f>IFERROR(G22/H22*1000,"")</f>
        <v/>
      </c>
      <c r="Q22" s="21">
        <f>IFERROR(G22/J22,"")</f>
        <v/>
      </c>
      <c r="R22" s="22">
        <f>IFERROR(K22/G22,"")</f>
        <v/>
      </c>
    </row>
    <row r="23">
      <c r="A23" s="11" t="n"/>
      <c r="G23" s="19" t="n"/>
      <c r="K23" s="19" t="n"/>
      <c r="L23" s="14">
        <f>IFERROR(VLOOKUP(M23,Ads_Mapping!$H$2:$I$499,2,FALSE),"Unmapped")</f>
        <v/>
      </c>
      <c r="M23" s="14">
        <f>IF(B23&lt;&gt;"",B23&amp;"|"&amp;C23&amp;"|"&amp;D23,"")</f>
        <v/>
      </c>
      <c r="N23" s="20">
        <f>IFERROR(I23/H23,"")</f>
        <v/>
      </c>
      <c r="O23" s="21">
        <f>IFERROR(G23/I23,"")</f>
        <v/>
      </c>
      <c r="P23" s="21">
        <f>IFERROR(G23/H23*1000,"")</f>
        <v/>
      </c>
      <c r="Q23" s="21">
        <f>IFERROR(G23/J23,"")</f>
        <v/>
      </c>
      <c r="R23" s="22">
        <f>IFERROR(K23/G23,"")</f>
        <v/>
      </c>
    </row>
    <row r="24">
      <c r="A24" s="11" t="n"/>
      <c r="G24" s="19" t="n"/>
      <c r="K24" s="19" t="n"/>
      <c r="L24" s="14">
        <f>IFERROR(VLOOKUP(M24,Ads_Mapping!$H$2:$I$499,2,FALSE),"Unmapped")</f>
        <v/>
      </c>
      <c r="M24" s="14">
        <f>IF(B24&lt;&gt;"",B24&amp;"|"&amp;C24&amp;"|"&amp;D24,"")</f>
        <v/>
      </c>
      <c r="N24" s="20">
        <f>IFERROR(I24/H24,"")</f>
        <v/>
      </c>
      <c r="O24" s="21">
        <f>IFERROR(G24/I24,"")</f>
        <v/>
      </c>
      <c r="P24" s="21">
        <f>IFERROR(G24/H24*1000,"")</f>
        <v/>
      </c>
      <c r="Q24" s="21">
        <f>IFERROR(G24/J24,"")</f>
        <v/>
      </c>
      <c r="R24" s="22">
        <f>IFERROR(K24/G24,"")</f>
        <v/>
      </c>
    </row>
    <row r="25">
      <c r="A25" s="11" t="n"/>
      <c r="G25" s="19" t="n"/>
      <c r="K25" s="19" t="n"/>
      <c r="L25" s="14">
        <f>IFERROR(VLOOKUP(M25,Ads_Mapping!$H$2:$I$499,2,FALSE),"Unmapped")</f>
        <v/>
      </c>
      <c r="M25" s="14">
        <f>IF(B25&lt;&gt;"",B25&amp;"|"&amp;C25&amp;"|"&amp;D25,"")</f>
        <v/>
      </c>
      <c r="N25" s="20">
        <f>IFERROR(I25/H25,"")</f>
        <v/>
      </c>
      <c r="O25" s="21">
        <f>IFERROR(G25/I25,"")</f>
        <v/>
      </c>
      <c r="P25" s="21">
        <f>IFERROR(G25/H25*1000,"")</f>
        <v/>
      </c>
      <c r="Q25" s="21">
        <f>IFERROR(G25/J25,"")</f>
        <v/>
      </c>
      <c r="R25" s="22">
        <f>IFERROR(K25/G25,"")</f>
        <v/>
      </c>
    </row>
    <row r="26">
      <c r="A26" s="11" t="n"/>
      <c r="G26" s="19" t="n"/>
      <c r="K26" s="19" t="n"/>
      <c r="L26" s="14">
        <f>IFERROR(VLOOKUP(M26,Ads_Mapping!$H$2:$I$499,2,FALSE),"Unmapped")</f>
        <v/>
      </c>
      <c r="M26" s="14">
        <f>IF(B26&lt;&gt;"",B26&amp;"|"&amp;C26&amp;"|"&amp;D26,"")</f>
        <v/>
      </c>
      <c r="N26" s="20">
        <f>IFERROR(I26/H26,"")</f>
        <v/>
      </c>
      <c r="O26" s="21">
        <f>IFERROR(G26/I26,"")</f>
        <v/>
      </c>
      <c r="P26" s="21">
        <f>IFERROR(G26/H26*1000,"")</f>
        <v/>
      </c>
      <c r="Q26" s="21">
        <f>IFERROR(G26/J26,"")</f>
        <v/>
      </c>
      <c r="R26" s="22">
        <f>IFERROR(K26/G26,"")</f>
        <v/>
      </c>
    </row>
    <row r="27">
      <c r="A27" s="11" t="n"/>
      <c r="G27" s="19" t="n"/>
      <c r="K27" s="19" t="n"/>
      <c r="L27" s="14">
        <f>IFERROR(VLOOKUP(M27,Ads_Mapping!$H$2:$I$499,2,FALSE),"Unmapped")</f>
        <v/>
      </c>
      <c r="M27" s="14">
        <f>IF(B27&lt;&gt;"",B27&amp;"|"&amp;C27&amp;"|"&amp;D27,"")</f>
        <v/>
      </c>
      <c r="N27" s="20">
        <f>IFERROR(I27/H27,"")</f>
        <v/>
      </c>
      <c r="O27" s="21">
        <f>IFERROR(G27/I27,"")</f>
        <v/>
      </c>
      <c r="P27" s="21">
        <f>IFERROR(G27/H27*1000,"")</f>
        <v/>
      </c>
      <c r="Q27" s="21">
        <f>IFERROR(G27/J27,"")</f>
        <v/>
      </c>
      <c r="R27" s="22">
        <f>IFERROR(K27/G27,"")</f>
        <v/>
      </c>
    </row>
    <row r="28">
      <c r="A28" s="11" t="n"/>
      <c r="G28" s="19" t="n"/>
      <c r="K28" s="19" t="n"/>
      <c r="L28" s="14">
        <f>IFERROR(VLOOKUP(M28,Ads_Mapping!$H$2:$I$499,2,FALSE),"Unmapped")</f>
        <v/>
      </c>
      <c r="M28" s="14">
        <f>IF(B28&lt;&gt;"",B28&amp;"|"&amp;C28&amp;"|"&amp;D28,"")</f>
        <v/>
      </c>
      <c r="N28" s="20">
        <f>IFERROR(I28/H28,"")</f>
        <v/>
      </c>
      <c r="O28" s="21">
        <f>IFERROR(G28/I28,"")</f>
        <v/>
      </c>
      <c r="P28" s="21">
        <f>IFERROR(G28/H28*1000,"")</f>
        <v/>
      </c>
      <c r="Q28" s="21">
        <f>IFERROR(G28/J28,"")</f>
        <v/>
      </c>
      <c r="R28" s="22">
        <f>IFERROR(K28/G28,"")</f>
        <v/>
      </c>
    </row>
    <row r="29">
      <c r="A29" s="11" t="n"/>
      <c r="G29" s="19" t="n"/>
      <c r="K29" s="19" t="n"/>
      <c r="L29" s="14">
        <f>IFERROR(VLOOKUP(M29,Ads_Mapping!$H$2:$I$499,2,FALSE),"Unmapped")</f>
        <v/>
      </c>
      <c r="M29" s="14">
        <f>IF(B29&lt;&gt;"",B29&amp;"|"&amp;C29&amp;"|"&amp;D29,"")</f>
        <v/>
      </c>
      <c r="N29" s="20">
        <f>IFERROR(I29/H29,"")</f>
        <v/>
      </c>
      <c r="O29" s="21">
        <f>IFERROR(G29/I29,"")</f>
        <v/>
      </c>
      <c r="P29" s="21">
        <f>IFERROR(G29/H29*1000,"")</f>
        <v/>
      </c>
      <c r="Q29" s="21">
        <f>IFERROR(G29/J29,"")</f>
        <v/>
      </c>
      <c r="R29" s="22">
        <f>IFERROR(K29/G29,"")</f>
        <v/>
      </c>
    </row>
    <row r="30">
      <c r="A30" s="11" t="n"/>
      <c r="G30" s="19" t="n"/>
      <c r="K30" s="19" t="n"/>
      <c r="L30" s="14">
        <f>IFERROR(VLOOKUP(M30,Ads_Mapping!$H$2:$I$499,2,FALSE),"Unmapped")</f>
        <v/>
      </c>
      <c r="M30" s="14">
        <f>IF(B30&lt;&gt;"",B30&amp;"|"&amp;C30&amp;"|"&amp;D30,"")</f>
        <v/>
      </c>
      <c r="N30" s="20">
        <f>IFERROR(I30/H30,"")</f>
        <v/>
      </c>
      <c r="O30" s="21">
        <f>IFERROR(G30/I30,"")</f>
        <v/>
      </c>
      <c r="P30" s="21">
        <f>IFERROR(G30/H30*1000,"")</f>
        <v/>
      </c>
      <c r="Q30" s="21">
        <f>IFERROR(G30/J30,"")</f>
        <v/>
      </c>
      <c r="R30" s="22">
        <f>IFERROR(K30/G30,"")</f>
        <v/>
      </c>
    </row>
    <row r="31">
      <c r="A31" s="11" t="n"/>
      <c r="G31" s="19" t="n"/>
      <c r="K31" s="19" t="n"/>
      <c r="L31" s="14">
        <f>IFERROR(VLOOKUP(M31,Ads_Mapping!$H$2:$I$499,2,FALSE),"Unmapped")</f>
        <v/>
      </c>
      <c r="M31" s="14">
        <f>IF(B31&lt;&gt;"",B31&amp;"|"&amp;C31&amp;"|"&amp;D31,"")</f>
        <v/>
      </c>
      <c r="N31" s="20">
        <f>IFERROR(I31/H31,"")</f>
        <v/>
      </c>
      <c r="O31" s="21">
        <f>IFERROR(G31/I31,"")</f>
        <v/>
      </c>
      <c r="P31" s="21">
        <f>IFERROR(G31/H31*1000,"")</f>
        <v/>
      </c>
      <c r="Q31" s="21">
        <f>IFERROR(G31/J31,"")</f>
        <v/>
      </c>
      <c r="R31" s="22">
        <f>IFERROR(K31/G31,"")</f>
        <v/>
      </c>
    </row>
    <row r="32">
      <c r="A32" s="11" t="n"/>
      <c r="G32" s="19" t="n"/>
      <c r="K32" s="19" t="n"/>
      <c r="L32" s="14">
        <f>IFERROR(VLOOKUP(M32,Ads_Mapping!$H$2:$I$499,2,FALSE),"Unmapped")</f>
        <v/>
      </c>
      <c r="M32" s="14">
        <f>IF(B32&lt;&gt;"",B32&amp;"|"&amp;C32&amp;"|"&amp;D32,"")</f>
        <v/>
      </c>
      <c r="N32" s="20">
        <f>IFERROR(I32/H32,"")</f>
        <v/>
      </c>
      <c r="O32" s="21">
        <f>IFERROR(G32/I32,"")</f>
        <v/>
      </c>
      <c r="P32" s="21">
        <f>IFERROR(G32/H32*1000,"")</f>
        <v/>
      </c>
      <c r="Q32" s="21">
        <f>IFERROR(G32/J32,"")</f>
        <v/>
      </c>
      <c r="R32" s="22">
        <f>IFERROR(K32/G32,"")</f>
        <v/>
      </c>
    </row>
    <row r="33">
      <c r="A33" s="11" t="n"/>
      <c r="G33" s="19" t="n"/>
      <c r="K33" s="19" t="n"/>
      <c r="L33" s="14">
        <f>IFERROR(VLOOKUP(M33,Ads_Mapping!$H$2:$I$499,2,FALSE),"Unmapped")</f>
        <v/>
      </c>
      <c r="M33" s="14">
        <f>IF(B33&lt;&gt;"",B33&amp;"|"&amp;C33&amp;"|"&amp;D33,"")</f>
        <v/>
      </c>
      <c r="N33" s="20">
        <f>IFERROR(I33/H33,"")</f>
        <v/>
      </c>
      <c r="O33" s="21">
        <f>IFERROR(G33/I33,"")</f>
        <v/>
      </c>
      <c r="P33" s="21">
        <f>IFERROR(G33/H33*1000,"")</f>
        <v/>
      </c>
      <c r="Q33" s="21">
        <f>IFERROR(G33/J33,"")</f>
        <v/>
      </c>
      <c r="R33" s="22">
        <f>IFERROR(K33/G33,"")</f>
        <v/>
      </c>
    </row>
    <row r="34">
      <c r="A34" s="11" t="n"/>
      <c r="G34" s="19" t="n"/>
      <c r="K34" s="19" t="n"/>
      <c r="L34" s="14">
        <f>IFERROR(VLOOKUP(M34,Ads_Mapping!$H$2:$I$499,2,FALSE),"Unmapped")</f>
        <v/>
      </c>
      <c r="M34" s="14">
        <f>IF(B34&lt;&gt;"",B34&amp;"|"&amp;C34&amp;"|"&amp;D34,"")</f>
        <v/>
      </c>
      <c r="N34" s="20">
        <f>IFERROR(I34/H34,"")</f>
        <v/>
      </c>
      <c r="O34" s="21">
        <f>IFERROR(G34/I34,"")</f>
        <v/>
      </c>
      <c r="P34" s="21">
        <f>IFERROR(G34/H34*1000,"")</f>
        <v/>
      </c>
      <c r="Q34" s="21">
        <f>IFERROR(G34/J34,"")</f>
        <v/>
      </c>
      <c r="R34" s="22">
        <f>IFERROR(K34/G34,"")</f>
        <v/>
      </c>
    </row>
    <row r="35">
      <c r="A35" s="11" t="n"/>
      <c r="G35" s="19" t="n"/>
      <c r="K35" s="19" t="n"/>
      <c r="L35" s="14">
        <f>IFERROR(VLOOKUP(M35,Ads_Mapping!$H$2:$I$499,2,FALSE),"Unmapped")</f>
        <v/>
      </c>
      <c r="M35" s="14">
        <f>IF(B35&lt;&gt;"",B35&amp;"|"&amp;C35&amp;"|"&amp;D35,"")</f>
        <v/>
      </c>
      <c r="N35" s="20">
        <f>IFERROR(I35/H35,"")</f>
        <v/>
      </c>
      <c r="O35" s="21">
        <f>IFERROR(G35/I35,"")</f>
        <v/>
      </c>
      <c r="P35" s="21">
        <f>IFERROR(G35/H35*1000,"")</f>
        <v/>
      </c>
      <c r="Q35" s="21">
        <f>IFERROR(G35/J35,"")</f>
        <v/>
      </c>
      <c r="R35" s="22">
        <f>IFERROR(K35/G35,"")</f>
        <v/>
      </c>
    </row>
    <row r="36">
      <c r="A36" s="11" t="n"/>
      <c r="G36" s="19" t="n"/>
      <c r="K36" s="19" t="n"/>
      <c r="L36" s="14">
        <f>IFERROR(VLOOKUP(M36,Ads_Mapping!$H$2:$I$499,2,FALSE),"Unmapped")</f>
        <v/>
      </c>
      <c r="M36" s="14">
        <f>IF(B36&lt;&gt;"",B36&amp;"|"&amp;C36&amp;"|"&amp;D36,"")</f>
        <v/>
      </c>
      <c r="N36" s="20">
        <f>IFERROR(I36/H36,"")</f>
        <v/>
      </c>
      <c r="O36" s="21">
        <f>IFERROR(G36/I36,"")</f>
        <v/>
      </c>
      <c r="P36" s="21">
        <f>IFERROR(G36/H36*1000,"")</f>
        <v/>
      </c>
      <c r="Q36" s="21">
        <f>IFERROR(G36/J36,"")</f>
        <v/>
      </c>
      <c r="R36" s="22">
        <f>IFERROR(K36/G36,"")</f>
        <v/>
      </c>
    </row>
    <row r="37">
      <c r="A37" s="11" t="n"/>
      <c r="G37" s="19" t="n"/>
      <c r="K37" s="19" t="n"/>
      <c r="L37" s="14">
        <f>IFERROR(VLOOKUP(M37,Ads_Mapping!$H$2:$I$499,2,FALSE),"Unmapped")</f>
        <v/>
      </c>
      <c r="M37" s="14">
        <f>IF(B37&lt;&gt;"",B37&amp;"|"&amp;C37&amp;"|"&amp;D37,"")</f>
        <v/>
      </c>
      <c r="N37" s="20">
        <f>IFERROR(I37/H37,"")</f>
        <v/>
      </c>
      <c r="O37" s="21">
        <f>IFERROR(G37/I37,"")</f>
        <v/>
      </c>
      <c r="P37" s="21">
        <f>IFERROR(G37/H37*1000,"")</f>
        <v/>
      </c>
      <c r="Q37" s="21">
        <f>IFERROR(G37/J37,"")</f>
        <v/>
      </c>
      <c r="R37" s="22">
        <f>IFERROR(K37/G37,"")</f>
        <v/>
      </c>
    </row>
    <row r="38">
      <c r="A38" s="11" t="n"/>
      <c r="G38" s="19" t="n"/>
      <c r="K38" s="19" t="n"/>
      <c r="L38" s="14">
        <f>IFERROR(VLOOKUP(M38,Ads_Mapping!$H$2:$I$499,2,FALSE),"Unmapped")</f>
        <v/>
      </c>
      <c r="M38" s="14">
        <f>IF(B38&lt;&gt;"",B38&amp;"|"&amp;C38&amp;"|"&amp;D38,"")</f>
        <v/>
      </c>
      <c r="N38" s="20">
        <f>IFERROR(I38/H38,"")</f>
        <v/>
      </c>
      <c r="O38" s="21">
        <f>IFERROR(G38/I38,"")</f>
        <v/>
      </c>
      <c r="P38" s="21">
        <f>IFERROR(G38/H38*1000,"")</f>
        <v/>
      </c>
      <c r="Q38" s="21">
        <f>IFERROR(G38/J38,"")</f>
        <v/>
      </c>
      <c r="R38" s="22">
        <f>IFERROR(K38/G38,"")</f>
        <v/>
      </c>
    </row>
    <row r="39">
      <c r="A39" s="11" t="n"/>
      <c r="G39" s="19" t="n"/>
      <c r="K39" s="19" t="n"/>
      <c r="L39" s="14">
        <f>IFERROR(VLOOKUP(M39,Ads_Mapping!$H$2:$I$499,2,FALSE),"Unmapped")</f>
        <v/>
      </c>
      <c r="M39" s="14">
        <f>IF(B39&lt;&gt;"",B39&amp;"|"&amp;C39&amp;"|"&amp;D39,"")</f>
        <v/>
      </c>
      <c r="N39" s="20">
        <f>IFERROR(I39/H39,"")</f>
        <v/>
      </c>
      <c r="O39" s="21">
        <f>IFERROR(G39/I39,"")</f>
        <v/>
      </c>
      <c r="P39" s="21">
        <f>IFERROR(G39/H39*1000,"")</f>
        <v/>
      </c>
      <c r="Q39" s="21">
        <f>IFERROR(G39/J39,"")</f>
        <v/>
      </c>
      <c r="R39" s="22">
        <f>IFERROR(K39/G39,"")</f>
        <v/>
      </c>
    </row>
    <row r="40">
      <c r="A40" s="11" t="n"/>
      <c r="G40" s="19" t="n"/>
      <c r="K40" s="19" t="n"/>
      <c r="L40" s="14">
        <f>IFERROR(VLOOKUP(M40,Ads_Mapping!$H$2:$I$499,2,FALSE),"Unmapped")</f>
        <v/>
      </c>
      <c r="M40" s="14">
        <f>IF(B40&lt;&gt;"",B40&amp;"|"&amp;C40&amp;"|"&amp;D40,"")</f>
        <v/>
      </c>
      <c r="N40" s="20">
        <f>IFERROR(I40/H40,"")</f>
        <v/>
      </c>
      <c r="O40" s="21">
        <f>IFERROR(G40/I40,"")</f>
        <v/>
      </c>
      <c r="P40" s="21">
        <f>IFERROR(G40/H40*1000,"")</f>
        <v/>
      </c>
      <c r="Q40" s="21">
        <f>IFERROR(G40/J40,"")</f>
        <v/>
      </c>
      <c r="R40" s="22">
        <f>IFERROR(K40/G40,"")</f>
        <v/>
      </c>
    </row>
    <row r="41">
      <c r="A41" s="11" t="n"/>
      <c r="G41" s="19" t="n"/>
      <c r="K41" s="19" t="n"/>
      <c r="L41" s="14">
        <f>IFERROR(VLOOKUP(M41,Ads_Mapping!$H$2:$I$499,2,FALSE),"Unmapped")</f>
        <v/>
      </c>
      <c r="M41" s="14">
        <f>IF(B41&lt;&gt;"",B41&amp;"|"&amp;C41&amp;"|"&amp;D41,"")</f>
        <v/>
      </c>
      <c r="N41" s="20">
        <f>IFERROR(I41/H41,"")</f>
        <v/>
      </c>
      <c r="O41" s="21">
        <f>IFERROR(G41/I41,"")</f>
        <v/>
      </c>
      <c r="P41" s="21">
        <f>IFERROR(G41/H41*1000,"")</f>
        <v/>
      </c>
      <c r="Q41" s="21">
        <f>IFERROR(G41/J41,"")</f>
        <v/>
      </c>
      <c r="R41" s="22">
        <f>IFERROR(K41/G41,"")</f>
        <v/>
      </c>
    </row>
    <row r="42">
      <c r="A42" s="11" t="n"/>
      <c r="G42" s="19" t="n"/>
      <c r="K42" s="19" t="n"/>
      <c r="L42" s="14">
        <f>IFERROR(VLOOKUP(M42,Ads_Mapping!$H$2:$I$499,2,FALSE),"Unmapped")</f>
        <v/>
      </c>
      <c r="M42" s="14">
        <f>IF(B42&lt;&gt;"",B42&amp;"|"&amp;C42&amp;"|"&amp;D42,"")</f>
        <v/>
      </c>
      <c r="N42" s="20">
        <f>IFERROR(I42/H42,"")</f>
        <v/>
      </c>
      <c r="O42" s="21">
        <f>IFERROR(G42/I42,"")</f>
        <v/>
      </c>
      <c r="P42" s="21">
        <f>IFERROR(G42/H42*1000,"")</f>
        <v/>
      </c>
      <c r="Q42" s="21">
        <f>IFERROR(G42/J42,"")</f>
        <v/>
      </c>
      <c r="R42" s="22">
        <f>IFERROR(K42/G42,"")</f>
        <v/>
      </c>
    </row>
    <row r="43">
      <c r="A43" s="11" t="n"/>
      <c r="G43" s="19" t="n"/>
      <c r="K43" s="19" t="n"/>
      <c r="L43" s="14">
        <f>IFERROR(VLOOKUP(M43,Ads_Mapping!$H$2:$I$499,2,FALSE),"Unmapped")</f>
        <v/>
      </c>
      <c r="M43" s="14">
        <f>IF(B43&lt;&gt;"",B43&amp;"|"&amp;C43&amp;"|"&amp;D43,"")</f>
        <v/>
      </c>
      <c r="N43" s="20">
        <f>IFERROR(I43/H43,"")</f>
        <v/>
      </c>
      <c r="O43" s="21">
        <f>IFERROR(G43/I43,"")</f>
        <v/>
      </c>
      <c r="P43" s="21">
        <f>IFERROR(G43/H43*1000,"")</f>
        <v/>
      </c>
      <c r="Q43" s="21">
        <f>IFERROR(G43/J43,"")</f>
        <v/>
      </c>
      <c r="R43" s="22">
        <f>IFERROR(K43/G43,"")</f>
        <v/>
      </c>
    </row>
    <row r="44">
      <c r="A44" s="11" t="n"/>
      <c r="G44" s="19" t="n"/>
      <c r="K44" s="19" t="n"/>
      <c r="L44" s="14">
        <f>IFERROR(VLOOKUP(M44,Ads_Mapping!$H$2:$I$499,2,FALSE),"Unmapped")</f>
        <v/>
      </c>
      <c r="M44" s="14">
        <f>IF(B44&lt;&gt;"",B44&amp;"|"&amp;C44&amp;"|"&amp;D44,"")</f>
        <v/>
      </c>
      <c r="N44" s="20">
        <f>IFERROR(I44/H44,"")</f>
        <v/>
      </c>
      <c r="O44" s="21">
        <f>IFERROR(G44/I44,"")</f>
        <v/>
      </c>
      <c r="P44" s="21">
        <f>IFERROR(G44/H44*1000,"")</f>
        <v/>
      </c>
      <c r="Q44" s="21">
        <f>IFERROR(G44/J44,"")</f>
        <v/>
      </c>
      <c r="R44" s="22">
        <f>IFERROR(K44/G44,"")</f>
        <v/>
      </c>
    </row>
    <row r="45">
      <c r="A45" s="11" t="n"/>
      <c r="G45" s="19" t="n"/>
      <c r="K45" s="19" t="n"/>
      <c r="L45" s="14">
        <f>IFERROR(VLOOKUP(M45,Ads_Mapping!$H$2:$I$499,2,FALSE),"Unmapped")</f>
        <v/>
      </c>
      <c r="M45" s="14">
        <f>IF(B45&lt;&gt;"",B45&amp;"|"&amp;C45&amp;"|"&amp;D45,"")</f>
        <v/>
      </c>
      <c r="N45" s="20">
        <f>IFERROR(I45/H45,"")</f>
        <v/>
      </c>
      <c r="O45" s="21">
        <f>IFERROR(G45/I45,"")</f>
        <v/>
      </c>
      <c r="P45" s="21">
        <f>IFERROR(G45/H45*1000,"")</f>
        <v/>
      </c>
      <c r="Q45" s="21">
        <f>IFERROR(G45/J45,"")</f>
        <v/>
      </c>
      <c r="R45" s="22">
        <f>IFERROR(K45/G45,"")</f>
        <v/>
      </c>
    </row>
    <row r="46">
      <c r="A46" s="11" t="n"/>
      <c r="G46" s="19" t="n"/>
      <c r="K46" s="19" t="n"/>
      <c r="L46" s="14">
        <f>IFERROR(VLOOKUP(M46,Ads_Mapping!$H$2:$I$499,2,FALSE),"Unmapped")</f>
        <v/>
      </c>
      <c r="M46" s="14">
        <f>IF(B46&lt;&gt;"",B46&amp;"|"&amp;C46&amp;"|"&amp;D46,"")</f>
        <v/>
      </c>
      <c r="N46" s="20">
        <f>IFERROR(I46/H46,"")</f>
        <v/>
      </c>
      <c r="O46" s="21">
        <f>IFERROR(G46/I46,"")</f>
        <v/>
      </c>
      <c r="P46" s="21">
        <f>IFERROR(G46/H46*1000,"")</f>
        <v/>
      </c>
      <c r="Q46" s="21">
        <f>IFERROR(G46/J46,"")</f>
        <v/>
      </c>
      <c r="R46" s="22">
        <f>IFERROR(K46/G46,"")</f>
        <v/>
      </c>
    </row>
    <row r="47">
      <c r="A47" s="11" t="n"/>
      <c r="G47" s="19" t="n"/>
      <c r="K47" s="19" t="n"/>
      <c r="L47" s="14">
        <f>IFERROR(VLOOKUP(M47,Ads_Mapping!$H$2:$I$499,2,FALSE),"Unmapped")</f>
        <v/>
      </c>
      <c r="M47" s="14">
        <f>IF(B47&lt;&gt;"",B47&amp;"|"&amp;C47&amp;"|"&amp;D47,"")</f>
        <v/>
      </c>
      <c r="N47" s="20">
        <f>IFERROR(I47/H47,"")</f>
        <v/>
      </c>
      <c r="O47" s="21">
        <f>IFERROR(G47/I47,"")</f>
        <v/>
      </c>
      <c r="P47" s="21">
        <f>IFERROR(G47/H47*1000,"")</f>
        <v/>
      </c>
      <c r="Q47" s="21">
        <f>IFERROR(G47/J47,"")</f>
        <v/>
      </c>
      <c r="R47" s="22">
        <f>IFERROR(K47/G47,"")</f>
        <v/>
      </c>
    </row>
    <row r="48">
      <c r="A48" s="11" t="n"/>
      <c r="G48" s="19" t="n"/>
      <c r="K48" s="19" t="n"/>
      <c r="L48" s="14">
        <f>IFERROR(VLOOKUP(M48,Ads_Mapping!$H$2:$I$499,2,FALSE),"Unmapped")</f>
        <v/>
      </c>
      <c r="M48" s="14">
        <f>IF(B48&lt;&gt;"",B48&amp;"|"&amp;C48&amp;"|"&amp;D48,"")</f>
        <v/>
      </c>
      <c r="N48" s="20">
        <f>IFERROR(I48/H48,"")</f>
        <v/>
      </c>
      <c r="O48" s="21">
        <f>IFERROR(G48/I48,"")</f>
        <v/>
      </c>
      <c r="P48" s="21">
        <f>IFERROR(G48/H48*1000,"")</f>
        <v/>
      </c>
      <c r="Q48" s="21">
        <f>IFERROR(G48/J48,"")</f>
        <v/>
      </c>
      <c r="R48" s="22">
        <f>IFERROR(K48/G48,"")</f>
        <v/>
      </c>
    </row>
    <row r="49">
      <c r="A49" s="11" t="n"/>
      <c r="G49" s="19" t="n"/>
      <c r="K49" s="19" t="n"/>
      <c r="L49" s="14">
        <f>IFERROR(VLOOKUP(M49,Ads_Mapping!$H$2:$I$499,2,FALSE),"Unmapped")</f>
        <v/>
      </c>
      <c r="M49" s="14">
        <f>IF(B49&lt;&gt;"",B49&amp;"|"&amp;C49&amp;"|"&amp;D49,"")</f>
        <v/>
      </c>
      <c r="N49" s="20">
        <f>IFERROR(I49/H49,"")</f>
        <v/>
      </c>
      <c r="O49" s="21">
        <f>IFERROR(G49/I49,"")</f>
        <v/>
      </c>
      <c r="P49" s="21">
        <f>IFERROR(G49/H49*1000,"")</f>
        <v/>
      </c>
      <c r="Q49" s="21">
        <f>IFERROR(G49/J49,"")</f>
        <v/>
      </c>
      <c r="R49" s="22">
        <f>IFERROR(K49/G49,"")</f>
        <v/>
      </c>
    </row>
    <row r="50">
      <c r="A50" s="11" t="n"/>
      <c r="G50" s="19" t="n"/>
      <c r="K50" s="19" t="n"/>
      <c r="L50" s="14">
        <f>IFERROR(VLOOKUP(M50,Ads_Mapping!$H$2:$I$499,2,FALSE),"Unmapped")</f>
        <v/>
      </c>
      <c r="M50" s="14">
        <f>IF(B50&lt;&gt;"",B50&amp;"|"&amp;C50&amp;"|"&amp;D50,"")</f>
        <v/>
      </c>
      <c r="N50" s="20">
        <f>IFERROR(I50/H50,"")</f>
        <v/>
      </c>
      <c r="O50" s="21">
        <f>IFERROR(G50/I50,"")</f>
        <v/>
      </c>
      <c r="P50" s="21">
        <f>IFERROR(G50/H50*1000,"")</f>
        <v/>
      </c>
      <c r="Q50" s="21">
        <f>IFERROR(G50/J50,"")</f>
        <v/>
      </c>
      <c r="R50" s="22">
        <f>IFERROR(K50/G50,"")</f>
        <v/>
      </c>
    </row>
    <row r="51">
      <c r="A51" s="11" t="n"/>
      <c r="G51" s="19" t="n"/>
      <c r="K51" s="19" t="n"/>
      <c r="L51" s="14">
        <f>IFERROR(VLOOKUP(M51,Ads_Mapping!$H$2:$I$499,2,FALSE),"Unmapped")</f>
        <v/>
      </c>
      <c r="M51" s="14">
        <f>IF(B51&lt;&gt;"",B51&amp;"|"&amp;C51&amp;"|"&amp;D51,"")</f>
        <v/>
      </c>
      <c r="N51" s="20">
        <f>IFERROR(I51/H51,"")</f>
        <v/>
      </c>
      <c r="O51" s="21">
        <f>IFERROR(G51/I51,"")</f>
        <v/>
      </c>
      <c r="P51" s="21">
        <f>IFERROR(G51/H51*1000,"")</f>
        <v/>
      </c>
      <c r="Q51" s="21">
        <f>IFERROR(G51/J51,"")</f>
        <v/>
      </c>
      <c r="R51" s="22">
        <f>IFERROR(K51/G51,"")</f>
        <v/>
      </c>
    </row>
    <row r="52">
      <c r="A52" s="11" t="n"/>
      <c r="G52" s="19" t="n"/>
      <c r="K52" s="19" t="n"/>
      <c r="L52" s="14">
        <f>IFERROR(VLOOKUP(M52,Ads_Mapping!$H$2:$I$499,2,FALSE),"Unmapped")</f>
        <v/>
      </c>
      <c r="M52" s="14">
        <f>IF(B52&lt;&gt;"",B52&amp;"|"&amp;C52&amp;"|"&amp;D52,"")</f>
        <v/>
      </c>
      <c r="N52" s="20">
        <f>IFERROR(I52/H52,"")</f>
        <v/>
      </c>
      <c r="O52" s="21">
        <f>IFERROR(G52/I52,"")</f>
        <v/>
      </c>
      <c r="P52" s="21">
        <f>IFERROR(G52/H52*1000,"")</f>
        <v/>
      </c>
      <c r="Q52" s="21">
        <f>IFERROR(G52/J52,"")</f>
        <v/>
      </c>
      <c r="R52" s="22">
        <f>IFERROR(K52/G52,"")</f>
        <v/>
      </c>
    </row>
    <row r="53">
      <c r="A53" s="11" t="n"/>
      <c r="G53" s="19" t="n"/>
      <c r="K53" s="19" t="n"/>
      <c r="L53" s="14">
        <f>IFERROR(VLOOKUP(M53,Ads_Mapping!$H$2:$I$499,2,FALSE),"Unmapped")</f>
        <v/>
      </c>
      <c r="M53" s="14">
        <f>IF(B53&lt;&gt;"",B53&amp;"|"&amp;C53&amp;"|"&amp;D53,"")</f>
        <v/>
      </c>
      <c r="N53" s="20">
        <f>IFERROR(I53/H53,"")</f>
        <v/>
      </c>
      <c r="O53" s="21">
        <f>IFERROR(G53/I53,"")</f>
        <v/>
      </c>
      <c r="P53" s="21">
        <f>IFERROR(G53/H53*1000,"")</f>
        <v/>
      </c>
      <c r="Q53" s="21">
        <f>IFERROR(G53/J53,"")</f>
        <v/>
      </c>
      <c r="R53" s="22">
        <f>IFERROR(K53/G53,"")</f>
        <v/>
      </c>
    </row>
    <row r="54">
      <c r="A54" s="11" t="n"/>
      <c r="G54" s="19" t="n"/>
      <c r="K54" s="19" t="n"/>
      <c r="L54" s="14">
        <f>IFERROR(VLOOKUP(M54,Ads_Mapping!$H$2:$I$499,2,FALSE),"Unmapped")</f>
        <v/>
      </c>
      <c r="M54" s="14">
        <f>IF(B54&lt;&gt;"",B54&amp;"|"&amp;C54&amp;"|"&amp;D54,"")</f>
        <v/>
      </c>
      <c r="N54" s="20">
        <f>IFERROR(I54/H54,"")</f>
        <v/>
      </c>
      <c r="O54" s="21">
        <f>IFERROR(G54/I54,"")</f>
        <v/>
      </c>
      <c r="P54" s="21">
        <f>IFERROR(G54/H54*1000,"")</f>
        <v/>
      </c>
      <c r="Q54" s="21">
        <f>IFERROR(G54/J54,"")</f>
        <v/>
      </c>
      <c r="R54" s="22">
        <f>IFERROR(K54/G54,"")</f>
        <v/>
      </c>
    </row>
    <row r="55">
      <c r="A55" s="11" t="n"/>
      <c r="G55" s="19" t="n"/>
      <c r="K55" s="19" t="n"/>
      <c r="L55" s="14">
        <f>IFERROR(VLOOKUP(M55,Ads_Mapping!$H$2:$I$499,2,FALSE),"Unmapped")</f>
        <v/>
      </c>
      <c r="M55" s="14">
        <f>IF(B55&lt;&gt;"",B55&amp;"|"&amp;C55&amp;"|"&amp;D55,"")</f>
        <v/>
      </c>
      <c r="N55" s="20">
        <f>IFERROR(I55/H55,"")</f>
        <v/>
      </c>
      <c r="O55" s="21">
        <f>IFERROR(G55/I55,"")</f>
        <v/>
      </c>
      <c r="P55" s="21">
        <f>IFERROR(G55/H55*1000,"")</f>
        <v/>
      </c>
      <c r="Q55" s="21">
        <f>IFERROR(G55/J55,"")</f>
        <v/>
      </c>
      <c r="R55" s="22">
        <f>IFERROR(K55/G55,"")</f>
        <v/>
      </c>
    </row>
    <row r="56">
      <c r="A56" s="11" t="n"/>
      <c r="G56" s="19" t="n"/>
      <c r="K56" s="19" t="n"/>
      <c r="L56" s="14">
        <f>IFERROR(VLOOKUP(M56,Ads_Mapping!$H$2:$I$499,2,FALSE),"Unmapped")</f>
        <v/>
      </c>
      <c r="M56" s="14">
        <f>IF(B56&lt;&gt;"",B56&amp;"|"&amp;C56&amp;"|"&amp;D56,"")</f>
        <v/>
      </c>
      <c r="N56" s="20">
        <f>IFERROR(I56/H56,"")</f>
        <v/>
      </c>
      <c r="O56" s="21">
        <f>IFERROR(G56/I56,"")</f>
        <v/>
      </c>
      <c r="P56" s="21">
        <f>IFERROR(G56/H56*1000,"")</f>
        <v/>
      </c>
      <c r="Q56" s="21">
        <f>IFERROR(G56/J56,"")</f>
        <v/>
      </c>
      <c r="R56" s="22">
        <f>IFERROR(K56/G56,"")</f>
        <v/>
      </c>
    </row>
    <row r="57">
      <c r="A57" s="11" t="n"/>
      <c r="G57" s="19" t="n"/>
      <c r="K57" s="19" t="n"/>
      <c r="L57" s="14">
        <f>IFERROR(VLOOKUP(M57,Ads_Mapping!$H$2:$I$499,2,FALSE),"Unmapped")</f>
        <v/>
      </c>
      <c r="M57" s="14">
        <f>IF(B57&lt;&gt;"",B57&amp;"|"&amp;C57&amp;"|"&amp;D57,"")</f>
        <v/>
      </c>
      <c r="N57" s="20">
        <f>IFERROR(I57/H57,"")</f>
        <v/>
      </c>
      <c r="O57" s="21">
        <f>IFERROR(G57/I57,"")</f>
        <v/>
      </c>
      <c r="P57" s="21">
        <f>IFERROR(G57/H57*1000,"")</f>
        <v/>
      </c>
      <c r="Q57" s="21">
        <f>IFERROR(G57/J57,"")</f>
        <v/>
      </c>
      <c r="R57" s="22">
        <f>IFERROR(K57/G57,"")</f>
        <v/>
      </c>
    </row>
    <row r="58">
      <c r="A58" s="11" t="n"/>
      <c r="G58" s="19" t="n"/>
      <c r="K58" s="19" t="n"/>
      <c r="L58" s="14">
        <f>IFERROR(VLOOKUP(M58,Ads_Mapping!$H$2:$I$499,2,FALSE),"Unmapped")</f>
        <v/>
      </c>
      <c r="M58" s="14">
        <f>IF(B58&lt;&gt;"",B58&amp;"|"&amp;C58&amp;"|"&amp;D58,"")</f>
        <v/>
      </c>
      <c r="N58" s="20">
        <f>IFERROR(I58/H58,"")</f>
        <v/>
      </c>
      <c r="O58" s="21">
        <f>IFERROR(G58/I58,"")</f>
        <v/>
      </c>
      <c r="P58" s="21">
        <f>IFERROR(G58/H58*1000,"")</f>
        <v/>
      </c>
      <c r="Q58" s="21">
        <f>IFERROR(G58/J58,"")</f>
        <v/>
      </c>
      <c r="R58" s="22">
        <f>IFERROR(K58/G58,"")</f>
        <v/>
      </c>
    </row>
    <row r="59">
      <c r="A59" s="11" t="n"/>
      <c r="G59" s="19" t="n"/>
      <c r="K59" s="19" t="n"/>
      <c r="L59" s="14">
        <f>IFERROR(VLOOKUP(M59,Ads_Mapping!$H$2:$I$499,2,FALSE),"Unmapped")</f>
        <v/>
      </c>
      <c r="M59" s="14">
        <f>IF(B59&lt;&gt;"",B59&amp;"|"&amp;C59&amp;"|"&amp;D59,"")</f>
        <v/>
      </c>
      <c r="N59" s="20">
        <f>IFERROR(I59/H59,"")</f>
        <v/>
      </c>
      <c r="O59" s="21">
        <f>IFERROR(G59/I59,"")</f>
        <v/>
      </c>
      <c r="P59" s="21">
        <f>IFERROR(G59/H59*1000,"")</f>
        <v/>
      </c>
      <c r="Q59" s="21">
        <f>IFERROR(G59/J59,"")</f>
        <v/>
      </c>
      <c r="R59" s="22">
        <f>IFERROR(K59/G59,"")</f>
        <v/>
      </c>
    </row>
    <row r="60">
      <c r="A60" s="11" t="n"/>
      <c r="G60" s="19" t="n"/>
      <c r="K60" s="19" t="n"/>
      <c r="L60" s="14">
        <f>IFERROR(VLOOKUP(M60,Ads_Mapping!$H$2:$I$499,2,FALSE),"Unmapped")</f>
        <v/>
      </c>
      <c r="M60" s="14">
        <f>IF(B60&lt;&gt;"",B60&amp;"|"&amp;C60&amp;"|"&amp;D60,"")</f>
        <v/>
      </c>
      <c r="N60" s="20">
        <f>IFERROR(I60/H60,"")</f>
        <v/>
      </c>
      <c r="O60" s="21">
        <f>IFERROR(G60/I60,"")</f>
        <v/>
      </c>
      <c r="P60" s="21">
        <f>IFERROR(G60/H60*1000,"")</f>
        <v/>
      </c>
      <c r="Q60" s="21">
        <f>IFERROR(G60/J60,"")</f>
        <v/>
      </c>
      <c r="R60" s="22">
        <f>IFERROR(K60/G60,"")</f>
        <v/>
      </c>
    </row>
    <row r="61">
      <c r="A61" s="11" t="n"/>
      <c r="G61" s="19" t="n"/>
      <c r="K61" s="19" t="n"/>
      <c r="L61" s="14">
        <f>IFERROR(VLOOKUP(M61,Ads_Mapping!$H$2:$I$499,2,FALSE),"Unmapped")</f>
        <v/>
      </c>
      <c r="M61" s="14">
        <f>IF(B61&lt;&gt;"",B61&amp;"|"&amp;C61&amp;"|"&amp;D61,"")</f>
        <v/>
      </c>
      <c r="N61" s="20">
        <f>IFERROR(I61/H61,"")</f>
        <v/>
      </c>
      <c r="O61" s="21">
        <f>IFERROR(G61/I61,"")</f>
        <v/>
      </c>
      <c r="P61" s="21">
        <f>IFERROR(G61/H61*1000,"")</f>
        <v/>
      </c>
      <c r="Q61" s="21">
        <f>IFERROR(G61/J61,"")</f>
        <v/>
      </c>
      <c r="R61" s="22">
        <f>IFERROR(K61/G61,"")</f>
        <v/>
      </c>
    </row>
    <row r="62">
      <c r="A62" s="11" t="n"/>
      <c r="G62" s="19" t="n"/>
      <c r="K62" s="19" t="n"/>
      <c r="L62" s="14">
        <f>IFERROR(VLOOKUP(M62,Ads_Mapping!$H$2:$I$499,2,FALSE),"Unmapped")</f>
        <v/>
      </c>
      <c r="M62" s="14">
        <f>IF(B62&lt;&gt;"",B62&amp;"|"&amp;C62&amp;"|"&amp;D62,"")</f>
        <v/>
      </c>
      <c r="N62" s="20">
        <f>IFERROR(I62/H62,"")</f>
        <v/>
      </c>
      <c r="O62" s="21">
        <f>IFERROR(G62/I62,"")</f>
        <v/>
      </c>
      <c r="P62" s="21">
        <f>IFERROR(G62/H62*1000,"")</f>
        <v/>
      </c>
      <c r="Q62" s="21">
        <f>IFERROR(G62/J62,"")</f>
        <v/>
      </c>
      <c r="R62" s="22">
        <f>IFERROR(K62/G62,"")</f>
        <v/>
      </c>
    </row>
    <row r="63">
      <c r="A63" s="11" t="n"/>
      <c r="G63" s="19" t="n"/>
      <c r="K63" s="19" t="n"/>
      <c r="L63" s="14">
        <f>IFERROR(VLOOKUP(M63,Ads_Mapping!$H$2:$I$499,2,FALSE),"Unmapped")</f>
        <v/>
      </c>
      <c r="M63" s="14">
        <f>IF(B63&lt;&gt;"",B63&amp;"|"&amp;C63&amp;"|"&amp;D63,"")</f>
        <v/>
      </c>
      <c r="N63" s="20">
        <f>IFERROR(I63/H63,"")</f>
        <v/>
      </c>
      <c r="O63" s="21">
        <f>IFERROR(G63/I63,"")</f>
        <v/>
      </c>
      <c r="P63" s="21">
        <f>IFERROR(G63/H63*1000,"")</f>
        <v/>
      </c>
      <c r="Q63" s="21">
        <f>IFERROR(G63/J63,"")</f>
        <v/>
      </c>
      <c r="R63" s="22">
        <f>IFERROR(K63/G63,"")</f>
        <v/>
      </c>
    </row>
    <row r="64">
      <c r="A64" s="11" t="n"/>
      <c r="G64" s="19" t="n"/>
      <c r="K64" s="19" t="n"/>
      <c r="L64" s="14">
        <f>IFERROR(VLOOKUP(M64,Ads_Mapping!$H$2:$I$499,2,FALSE),"Unmapped")</f>
        <v/>
      </c>
      <c r="M64" s="14">
        <f>IF(B64&lt;&gt;"",B64&amp;"|"&amp;C64&amp;"|"&amp;D64,"")</f>
        <v/>
      </c>
      <c r="N64" s="20">
        <f>IFERROR(I64/H64,"")</f>
        <v/>
      </c>
      <c r="O64" s="21">
        <f>IFERROR(G64/I64,"")</f>
        <v/>
      </c>
      <c r="P64" s="21">
        <f>IFERROR(G64/H64*1000,"")</f>
        <v/>
      </c>
      <c r="Q64" s="21">
        <f>IFERROR(G64/J64,"")</f>
        <v/>
      </c>
      <c r="R64" s="22">
        <f>IFERROR(K64/G64,"")</f>
        <v/>
      </c>
    </row>
    <row r="65">
      <c r="A65" s="11" t="n"/>
      <c r="G65" s="19" t="n"/>
      <c r="K65" s="19" t="n"/>
      <c r="L65" s="14">
        <f>IFERROR(VLOOKUP(M65,Ads_Mapping!$H$2:$I$499,2,FALSE),"Unmapped")</f>
        <v/>
      </c>
      <c r="M65" s="14">
        <f>IF(B65&lt;&gt;"",B65&amp;"|"&amp;C65&amp;"|"&amp;D65,"")</f>
        <v/>
      </c>
      <c r="N65" s="20">
        <f>IFERROR(I65/H65,"")</f>
        <v/>
      </c>
      <c r="O65" s="21">
        <f>IFERROR(G65/I65,"")</f>
        <v/>
      </c>
      <c r="P65" s="21">
        <f>IFERROR(G65/H65*1000,"")</f>
        <v/>
      </c>
      <c r="Q65" s="21">
        <f>IFERROR(G65/J65,"")</f>
        <v/>
      </c>
      <c r="R65" s="22">
        <f>IFERROR(K65/G65,"")</f>
        <v/>
      </c>
    </row>
    <row r="66">
      <c r="A66" s="11" t="n"/>
      <c r="G66" s="19" t="n"/>
      <c r="K66" s="19" t="n"/>
      <c r="L66" s="14">
        <f>IFERROR(VLOOKUP(M66,Ads_Mapping!$H$2:$I$499,2,FALSE),"Unmapped")</f>
        <v/>
      </c>
      <c r="M66" s="14">
        <f>IF(B66&lt;&gt;"",B66&amp;"|"&amp;C66&amp;"|"&amp;D66,"")</f>
        <v/>
      </c>
      <c r="N66" s="20">
        <f>IFERROR(I66/H66,"")</f>
        <v/>
      </c>
      <c r="O66" s="21">
        <f>IFERROR(G66/I66,"")</f>
        <v/>
      </c>
      <c r="P66" s="21">
        <f>IFERROR(G66/H66*1000,"")</f>
        <v/>
      </c>
      <c r="Q66" s="21">
        <f>IFERROR(G66/J66,"")</f>
        <v/>
      </c>
      <c r="R66" s="22">
        <f>IFERROR(K66/G66,"")</f>
        <v/>
      </c>
    </row>
    <row r="67">
      <c r="A67" s="11" t="n"/>
      <c r="G67" s="19" t="n"/>
      <c r="K67" s="19" t="n"/>
      <c r="L67" s="14">
        <f>IFERROR(VLOOKUP(M67,Ads_Mapping!$H$2:$I$499,2,FALSE),"Unmapped")</f>
        <v/>
      </c>
      <c r="M67" s="14">
        <f>IF(B67&lt;&gt;"",B67&amp;"|"&amp;C67&amp;"|"&amp;D67,"")</f>
        <v/>
      </c>
      <c r="N67" s="20">
        <f>IFERROR(I67/H67,"")</f>
        <v/>
      </c>
      <c r="O67" s="21">
        <f>IFERROR(G67/I67,"")</f>
        <v/>
      </c>
      <c r="P67" s="21">
        <f>IFERROR(G67/H67*1000,"")</f>
        <v/>
      </c>
      <c r="Q67" s="21">
        <f>IFERROR(G67/J67,"")</f>
        <v/>
      </c>
      <c r="R67" s="22">
        <f>IFERROR(K67/G67,"")</f>
        <v/>
      </c>
    </row>
    <row r="68">
      <c r="A68" s="11" t="n"/>
      <c r="G68" s="19" t="n"/>
      <c r="K68" s="19" t="n"/>
      <c r="L68" s="14">
        <f>IFERROR(VLOOKUP(M68,Ads_Mapping!$H$2:$I$499,2,FALSE),"Unmapped")</f>
        <v/>
      </c>
      <c r="M68" s="14">
        <f>IF(B68&lt;&gt;"",B68&amp;"|"&amp;C68&amp;"|"&amp;D68,"")</f>
        <v/>
      </c>
      <c r="N68" s="20">
        <f>IFERROR(I68/H68,"")</f>
        <v/>
      </c>
      <c r="O68" s="21">
        <f>IFERROR(G68/I68,"")</f>
        <v/>
      </c>
      <c r="P68" s="21">
        <f>IFERROR(G68/H68*1000,"")</f>
        <v/>
      </c>
      <c r="Q68" s="21">
        <f>IFERROR(G68/J68,"")</f>
        <v/>
      </c>
      <c r="R68" s="22">
        <f>IFERROR(K68/G68,"")</f>
        <v/>
      </c>
    </row>
    <row r="69">
      <c r="A69" s="11" t="n"/>
      <c r="G69" s="19" t="n"/>
      <c r="K69" s="19" t="n"/>
      <c r="L69" s="14">
        <f>IFERROR(VLOOKUP(M69,Ads_Mapping!$H$2:$I$499,2,FALSE),"Unmapped")</f>
        <v/>
      </c>
      <c r="M69" s="14">
        <f>IF(B69&lt;&gt;"",B69&amp;"|"&amp;C69&amp;"|"&amp;D69,"")</f>
        <v/>
      </c>
      <c r="N69" s="20">
        <f>IFERROR(I69/H69,"")</f>
        <v/>
      </c>
      <c r="O69" s="21">
        <f>IFERROR(G69/I69,"")</f>
        <v/>
      </c>
      <c r="P69" s="21">
        <f>IFERROR(G69/H69*1000,"")</f>
        <v/>
      </c>
      <c r="Q69" s="21">
        <f>IFERROR(G69/J69,"")</f>
        <v/>
      </c>
      <c r="R69" s="22">
        <f>IFERROR(K69/G69,"")</f>
        <v/>
      </c>
    </row>
    <row r="70">
      <c r="A70" s="11" t="n"/>
      <c r="G70" s="19" t="n"/>
      <c r="K70" s="19" t="n"/>
      <c r="L70" s="14">
        <f>IFERROR(VLOOKUP(M70,Ads_Mapping!$H$2:$I$499,2,FALSE),"Unmapped")</f>
        <v/>
      </c>
      <c r="M70" s="14">
        <f>IF(B70&lt;&gt;"",B70&amp;"|"&amp;C70&amp;"|"&amp;D70,"")</f>
        <v/>
      </c>
      <c r="N70" s="20">
        <f>IFERROR(I70/H70,"")</f>
        <v/>
      </c>
      <c r="O70" s="21">
        <f>IFERROR(G70/I70,"")</f>
        <v/>
      </c>
      <c r="P70" s="21">
        <f>IFERROR(G70/H70*1000,"")</f>
        <v/>
      </c>
      <c r="Q70" s="21">
        <f>IFERROR(G70/J70,"")</f>
        <v/>
      </c>
      <c r="R70" s="22">
        <f>IFERROR(K70/G70,"")</f>
        <v/>
      </c>
    </row>
    <row r="71">
      <c r="A71" s="11" t="n"/>
      <c r="G71" s="19" t="n"/>
      <c r="K71" s="19" t="n"/>
      <c r="L71" s="14">
        <f>IFERROR(VLOOKUP(M71,Ads_Mapping!$H$2:$I$499,2,FALSE),"Unmapped")</f>
        <v/>
      </c>
      <c r="M71" s="14">
        <f>IF(B71&lt;&gt;"",B71&amp;"|"&amp;C71&amp;"|"&amp;D71,"")</f>
        <v/>
      </c>
      <c r="N71" s="20">
        <f>IFERROR(I71/H71,"")</f>
        <v/>
      </c>
      <c r="O71" s="21">
        <f>IFERROR(G71/I71,"")</f>
        <v/>
      </c>
      <c r="P71" s="21">
        <f>IFERROR(G71/H71*1000,"")</f>
        <v/>
      </c>
      <c r="Q71" s="21">
        <f>IFERROR(G71/J71,"")</f>
        <v/>
      </c>
      <c r="R71" s="22">
        <f>IFERROR(K71/G71,"")</f>
        <v/>
      </c>
    </row>
    <row r="72">
      <c r="A72" s="11" t="n"/>
      <c r="G72" s="19" t="n"/>
      <c r="K72" s="19" t="n"/>
      <c r="L72" s="14">
        <f>IFERROR(VLOOKUP(M72,Ads_Mapping!$H$2:$I$499,2,FALSE),"Unmapped")</f>
        <v/>
      </c>
      <c r="M72" s="14">
        <f>IF(B72&lt;&gt;"",B72&amp;"|"&amp;C72&amp;"|"&amp;D72,"")</f>
        <v/>
      </c>
      <c r="N72" s="20">
        <f>IFERROR(I72/H72,"")</f>
        <v/>
      </c>
      <c r="O72" s="21">
        <f>IFERROR(G72/I72,"")</f>
        <v/>
      </c>
      <c r="P72" s="21">
        <f>IFERROR(G72/H72*1000,"")</f>
        <v/>
      </c>
      <c r="Q72" s="21">
        <f>IFERROR(G72/J72,"")</f>
        <v/>
      </c>
      <c r="R72" s="22">
        <f>IFERROR(K72/G72,"")</f>
        <v/>
      </c>
    </row>
    <row r="73">
      <c r="A73" s="11" t="n"/>
      <c r="G73" s="19" t="n"/>
      <c r="K73" s="19" t="n"/>
      <c r="L73" s="14">
        <f>IFERROR(VLOOKUP(M73,Ads_Mapping!$H$2:$I$499,2,FALSE),"Unmapped")</f>
        <v/>
      </c>
      <c r="M73" s="14">
        <f>IF(B73&lt;&gt;"",B73&amp;"|"&amp;C73&amp;"|"&amp;D73,"")</f>
        <v/>
      </c>
      <c r="N73" s="20">
        <f>IFERROR(I73/H73,"")</f>
        <v/>
      </c>
      <c r="O73" s="21">
        <f>IFERROR(G73/I73,"")</f>
        <v/>
      </c>
      <c r="P73" s="21">
        <f>IFERROR(G73/H73*1000,"")</f>
        <v/>
      </c>
      <c r="Q73" s="21">
        <f>IFERROR(G73/J73,"")</f>
        <v/>
      </c>
      <c r="R73" s="22">
        <f>IFERROR(K73/G73,"")</f>
        <v/>
      </c>
    </row>
    <row r="74">
      <c r="A74" s="11" t="n"/>
      <c r="G74" s="19" t="n"/>
      <c r="K74" s="19" t="n"/>
      <c r="L74" s="14">
        <f>IFERROR(VLOOKUP(M74,Ads_Mapping!$H$2:$I$499,2,FALSE),"Unmapped")</f>
        <v/>
      </c>
      <c r="M74" s="14">
        <f>IF(B74&lt;&gt;"",B74&amp;"|"&amp;C74&amp;"|"&amp;D74,"")</f>
        <v/>
      </c>
      <c r="N74" s="20">
        <f>IFERROR(I74/H74,"")</f>
        <v/>
      </c>
      <c r="O74" s="21">
        <f>IFERROR(G74/I74,"")</f>
        <v/>
      </c>
      <c r="P74" s="21">
        <f>IFERROR(G74/H74*1000,"")</f>
        <v/>
      </c>
      <c r="Q74" s="21">
        <f>IFERROR(G74/J74,"")</f>
        <v/>
      </c>
      <c r="R74" s="22">
        <f>IFERROR(K74/G74,"")</f>
        <v/>
      </c>
    </row>
    <row r="75">
      <c r="A75" s="11" t="n"/>
      <c r="G75" s="19" t="n"/>
      <c r="K75" s="19" t="n"/>
      <c r="L75" s="14">
        <f>IFERROR(VLOOKUP(M75,Ads_Mapping!$H$2:$I$499,2,FALSE),"Unmapped")</f>
        <v/>
      </c>
      <c r="M75" s="14">
        <f>IF(B75&lt;&gt;"",B75&amp;"|"&amp;C75&amp;"|"&amp;D75,"")</f>
        <v/>
      </c>
      <c r="N75" s="20">
        <f>IFERROR(I75/H75,"")</f>
        <v/>
      </c>
      <c r="O75" s="21">
        <f>IFERROR(G75/I75,"")</f>
        <v/>
      </c>
      <c r="P75" s="21">
        <f>IFERROR(G75/H75*1000,"")</f>
        <v/>
      </c>
      <c r="Q75" s="21">
        <f>IFERROR(G75/J75,"")</f>
        <v/>
      </c>
      <c r="R75" s="22">
        <f>IFERROR(K75/G75,"")</f>
        <v/>
      </c>
    </row>
    <row r="76">
      <c r="A76" s="11" t="n"/>
      <c r="G76" s="19" t="n"/>
      <c r="K76" s="19" t="n"/>
      <c r="L76" s="14">
        <f>IFERROR(VLOOKUP(M76,Ads_Mapping!$H$2:$I$499,2,FALSE),"Unmapped")</f>
        <v/>
      </c>
      <c r="M76" s="14">
        <f>IF(B76&lt;&gt;"",B76&amp;"|"&amp;C76&amp;"|"&amp;D76,"")</f>
        <v/>
      </c>
      <c r="N76" s="20">
        <f>IFERROR(I76/H76,"")</f>
        <v/>
      </c>
      <c r="O76" s="21">
        <f>IFERROR(G76/I76,"")</f>
        <v/>
      </c>
      <c r="P76" s="21">
        <f>IFERROR(G76/H76*1000,"")</f>
        <v/>
      </c>
      <c r="Q76" s="21">
        <f>IFERROR(G76/J76,"")</f>
        <v/>
      </c>
      <c r="R76" s="22">
        <f>IFERROR(K76/G76,"")</f>
        <v/>
      </c>
    </row>
    <row r="77">
      <c r="A77" s="11" t="n"/>
      <c r="G77" s="19" t="n"/>
      <c r="K77" s="19" t="n"/>
      <c r="L77" s="14">
        <f>IFERROR(VLOOKUP(M77,Ads_Mapping!$H$2:$I$499,2,FALSE),"Unmapped")</f>
        <v/>
      </c>
      <c r="M77" s="14">
        <f>IF(B77&lt;&gt;"",B77&amp;"|"&amp;C77&amp;"|"&amp;D77,"")</f>
        <v/>
      </c>
      <c r="N77" s="20">
        <f>IFERROR(I77/H77,"")</f>
        <v/>
      </c>
      <c r="O77" s="21">
        <f>IFERROR(G77/I77,"")</f>
        <v/>
      </c>
      <c r="P77" s="21">
        <f>IFERROR(G77/H77*1000,"")</f>
        <v/>
      </c>
      <c r="Q77" s="21">
        <f>IFERROR(G77/J77,"")</f>
        <v/>
      </c>
      <c r="R77" s="22">
        <f>IFERROR(K77/G77,"")</f>
        <v/>
      </c>
    </row>
    <row r="78">
      <c r="A78" s="11" t="n"/>
      <c r="G78" s="19" t="n"/>
      <c r="K78" s="19" t="n"/>
      <c r="L78" s="14">
        <f>IFERROR(VLOOKUP(M78,Ads_Mapping!$H$2:$I$499,2,FALSE),"Unmapped")</f>
        <v/>
      </c>
      <c r="M78" s="14">
        <f>IF(B78&lt;&gt;"",B78&amp;"|"&amp;C78&amp;"|"&amp;D78,"")</f>
        <v/>
      </c>
      <c r="N78" s="20">
        <f>IFERROR(I78/H78,"")</f>
        <v/>
      </c>
      <c r="O78" s="21">
        <f>IFERROR(G78/I78,"")</f>
        <v/>
      </c>
      <c r="P78" s="21">
        <f>IFERROR(G78/H78*1000,"")</f>
        <v/>
      </c>
      <c r="Q78" s="21">
        <f>IFERROR(G78/J78,"")</f>
        <v/>
      </c>
      <c r="R78" s="22">
        <f>IFERROR(K78/G78,"")</f>
        <v/>
      </c>
    </row>
    <row r="79">
      <c r="A79" s="11" t="n"/>
      <c r="G79" s="19" t="n"/>
      <c r="K79" s="19" t="n"/>
      <c r="L79" s="14">
        <f>IFERROR(VLOOKUP(M79,Ads_Mapping!$H$2:$I$499,2,FALSE),"Unmapped")</f>
        <v/>
      </c>
      <c r="M79" s="14">
        <f>IF(B79&lt;&gt;"",B79&amp;"|"&amp;C79&amp;"|"&amp;D79,"")</f>
        <v/>
      </c>
      <c r="N79" s="20">
        <f>IFERROR(I79/H79,"")</f>
        <v/>
      </c>
      <c r="O79" s="21">
        <f>IFERROR(G79/I79,"")</f>
        <v/>
      </c>
      <c r="P79" s="21">
        <f>IFERROR(G79/H79*1000,"")</f>
        <v/>
      </c>
      <c r="Q79" s="21">
        <f>IFERROR(G79/J79,"")</f>
        <v/>
      </c>
      <c r="R79" s="22">
        <f>IFERROR(K79/G79,"")</f>
        <v/>
      </c>
    </row>
    <row r="80">
      <c r="A80" s="11" t="n"/>
      <c r="G80" s="19" t="n"/>
      <c r="K80" s="19" t="n"/>
      <c r="L80" s="14">
        <f>IFERROR(VLOOKUP(M80,Ads_Mapping!$H$2:$I$499,2,FALSE),"Unmapped")</f>
        <v/>
      </c>
      <c r="M80" s="14">
        <f>IF(B80&lt;&gt;"",B80&amp;"|"&amp;C80&amp;"|"&amp;D80,"")</f>
        <v/>
      </c>
      <c r="N80" s="20">
        <f>IFERROR(I80/H80,"")</f>
        <v/>
      </c>
      <c r="O80" s="21">
        <f>IFERROR(G80/I80,"")</f>
        <v/>
      </c>
      <c r="P80" s="21">
        <f>IFERROR(G80/H80*1000,"")</f>
        <v/>
      </c>
      <c r="Q80" s="21">
        <f>IFERROR(G80/J80,"")</f>
        <v/>
      </c>
      <c r="R80" s="22">
        <f>IFERROR(K80/G80,"")</f>
        <v/>
      </c>
    </row>
    <row r="81">
      <c r="A81" s="11" t="n"/>
      <c r="G81" s="19" t="n"/>
      <c r="K81" s="19" t="n"/>
      <c r="L81" s="14">
        <f>IFERROR(VLOOKUP(M81,Ads_Mapping!$H$2:$I$499,2,FALSE),"Unmapped")</f>
        <v/>
      </c>
      <c r="M81" s="14">
        <f>IF(B81&lt;&gt;"",B81&amp;"|"&amp;C81&amp;"|"&amp;D81,"")</f>
        <v/>
      </c>
      <c r="N81" s="20">
        <f>IFERROR(I81/H81,"")</f>
        <v/>
      </c>
      <c r="O81" s="21">
        <f>IFERROR(G81/I81,"")</f>
        <v/>
      </c>
      <c r="P81" s="21">
        <f>IFERROR(G81/H81*1000,"")</f>
        <v/>
      </c>
      <c r="Q81" s="21">
        <f>IFERROR(G81/J81,"")</f>
        <v/>
      </c>
      <c r="R81" s="22">
        <f>IFERROR(K81/G81,"")</f>
        <v/>
      </c>
    </row>
    <row r="82">
      <c r="A82" s="11" t="n"/>
      <c r="G82" s="19" t="n"/>
      <c r="K82" s="19" t="n"/>
      <c r="L82" s="14">
        <f>IFERROR(VLOOKUP(M82,Ads_Mapping!$H$2:$I$499,2,FALSE),"Unmapped")</f>
        <v/>
      </c>
      <c r="M82" s="14">
        <f>IF(B82&lt;&gt;"",B82&amp;"|"&amp;C82&amp;"|"&amp;D82,"")</f>
        <v/>
      </c>
      <c r="N82" s="20">
        <f>IFERROR(I82/H82,"")</f>
        <v/>
      </c>
      <c r="O82" s="21">
        <f>IFERROR(G82/I82,"")</f>
        <v/>
      </c>
      <c r="P82" s="21">
        <f>IFERROR(G82/H82*1000,"")</f>
        <v/>
      </c>
      <c r="Q82" s="21">
        <f>IFERROR(G82/J82,"")</f>
        <v/>
      </c>
      <c r="R82" s="22">
        <f>IFERROR(K82/G82,"")</f>
        <v/>
      </c>
    </row>
    <row r="83">
      <c r="A83" s="11" t="n"/>
      <c r="G83" s="19" t="n"/>
      <c r="K83" s="19" t="n"/>
      <c r="L83" s="14">
        <f>IFERROR(VLOOKUP(M83,Ads_Mapping!$H$2:$I$499,2,FALSE),"Unmapped")</f>
        <v/>
      </c>
      <c r="M83" s="14">
        <f>IF(B83&lt;&gt;"",B83&amp;"|"&amp;C83&amp;"|"&amp;D83,"")</f>
        <v/>
      </c>
      <c r="N83" s="20">
        <f>IFERROR(I83/H83,"")</f>
        <v/>
      </c>
      <c r="O83" s="21">
        <f>IFERROR(G83/I83,"")</f>
        <v/>
      </c>
      <c r="P83" s="21">
        <f>IFERROR(G83/H83*1000,"")</f>
        <v/>
      </c>
      <c r="Q83" s="21">
        <f>IFERROR(G83/J83,"")</f>
        <v/>
      </c>
      <c r="R83" s="22">
        <f>IFERROR(K83/G83,"")</f>
        <v/>
      </c>
    </row>
    <row r="84">
      <c r="A84" s="11" t="n"/>
      <c r="G84" s="19" t="n"/>
      <c r="K84" s="19" t="n"/>
      <c r="L84" s="14">
        <f>IFERROR(VLOOKUP(M84,Ads_Mapping!$H$2:$I$499,2,FALSE),"Unmapped")</f>
        <v/>
      </c>
      <c r="M84" s="14">
        <f>IF(B84&lt;&gt;"",B84&amp;"|"&amp;C84&amp;"|"&amp;D84,"")</f>
        <v/>
      </c>
      <c r="N84" s="20">
        <f>IFERROR(I84/H84,"")</f>
        <v/>
      </c>
      <c r="O84" s="21">
        <f>IFERROR(G84/I84,"")</f>
        <v/>
      </c>
      <c r="P84" s="21">
        <f>IFERROR(G84/H84*1000,"")</f>
        <v/>
      </c>
      <c r="Q84" s="21">
        <f>IFERROR(G84/J84,"")</f>
        <v/>
      </c>
      <c r="R84" s="22">
        <f>IFERROR(K84/G84,"")</f>
        <v/>
      </c>
    </row>
    <row r="85">
      <c r="A85" s="11" t="n"/>
      <c r="G85" s="19" t="n"/>
      <c r="K85" s="19" t="n"/>
      <c r="L85" s="14">
        <f>IFERROR(VLOOKUP(M85,Ads_Mapping!$H$2:$I$499,2,FALSE),"Unmapped")</f>
        <v/>
      </c>
      <c r="M85" s="14">
        <f>IF(B85&lt;&gt;"",B85&amp;"|"&amp;C85&amp;"|"&amp;D85,"")</f>
        <v/>
      </c>
      <c r="N85" s="20">
        <f>IFERROR(I85/H85,"")</f>
        <v/>
      </c>
      <c r="O85" s="21">
        <f>IFERROR(G85/I85,"")</f>
        <v/>
      </c>
      <c r="P85" s="21">
        <f>IFERROR(G85/H85*1000,"")</f>
        <v/>
      </c>
      <c r="Q85" s="21">
        <f>IFERROR(G85/J85,"")</f>
        <v/>
      </c>
      <c r="R85" s="22">
        <f>IFERROR(K85/G85,"")</f>
        <v/>
      </c>
    </row>
    <row r="86">
      <c r="A86" s="11" t="n"/>
      <c r="G86" s="19" t="n"/>
      <c r="K86" s="19" t="n"/>
      <c r="L86" s="14">
        <f>IFERROR(VLOOKUP(M86,Ads_Mapping!$H$2:$I$499,2,FALSE),"Unmapped")</f>
        <v/>
      </c>
      <c r="M86" s="14">
        <f>IF(B86&lt;&gt;"",B86&amp;"|"&amp;C86&amp;"|"&amp;D86,"")</f>
        <v/>
      </c>
      <c r="N86" s="20">
        <f>IFERROR(I86/H86,"")</f>
        <v/>
      </c>
      <c r="O86" s="21">
        <f>IFERROR(G86/I86,"")</f>
        <v/>
      </c>
      <c r="P86" s="21">
        <f>IFERROR(G86/H86*1000,"")</f>
        <v/>
      </c>
      <c r="Q86" s="21">
        <f>IFERROR(G86/J86,"")</f>
        <v/>
      </c>
      <c r="R86" s="22">
        <f>IFERROR(K86/G86,"")</f>
        <v/>
      </c>
    </row>
    <row r="87">
      <c r="A87" s="11" t="n"/>
      <c r="G87" s="19" t="n"/>
      <c r="K87" s="19" t="n"/>
      <c r="L87" s="14">
        <f>IFERROR(VLOOKUP(M87,Ads_Mapping!$H$2:$I$499,2,FALSE),"Unmapped")</f>
        <v/>
      </c>
      <c r="M87" s="14">
        <f>IF(B87&lt;&gt;"",B87&amp;"|"&amp;C87&amp;"|"&amp;D87,"")</f>
        <v/>
      </c>
      <c r="N87" s="20">
        <f>IFERROR(I87/H87,"")</f>
        <v/>
      </c>
      <c r="O87" s="21">
        <f>IFERROR(G87/I87,"")</f>
        <v/>
      </c>
      <c r="P87" s="21">
        <f>IFERROR(G87/H87*1000,"")</f>
        <v/>
      </c>
      <c r="Q87" s="21">
        <f>IFERROR(G87/J87,"")</f>
        <v/>
      </c>
      <c r="R87" s="22">
        <f>IFERROR(K87/G87,"")</f>
        <v/>
      </c>
    </row>
    <row r="88">
      <c r="A88" s="11" t="n"/>
      <c r="G88" s="19" t="n"/>
      <c r="K88" s="19" t="n"/>
      <c r="L88" s="14">
        <f>IFERROR(VLOOKUP(M88,Ads_Mapping!$H$2:$I$499,2,FALSE),"Unmapped")</f>
        <v/>
      </c>
      <c r="M88" s="14">
        <f>IF(B88&lt;&gt;"",B88&amp;"|"&amp;C88&amp;"|"&amp;D88,"")</f>
        <v/>
      </c>
      <c r="N88" s="20">
        <f>IFERROR(I88/H88,"")</f>
        <v/>
      </c>
      <c r="O88" s="21">
        <f>IFERROR(G88/I88,"")</f>
        <v/>
      </c>
      <c r="P88" s="21">
        <f>IFERROR(G88/H88*1000,"")</f>
        <v/>
      </c>
      <c r="Q88" s="21">
        <f>IFERROR(G88/J88,"")</f>
        <v/>
      </c>
      <c r="R88" s="22">
        <f>IFERROR(K88/G88,"")</f>
        <v/>
      </c>
    </row>
    <row r="89">
      <c r="A89" s="11" t="n"/>
      <c r="G89" s="19" t="n"/>
      <c r="K89" s="19" t="n"/>
      <c r="L89" s="14">
        <f>IFERROR(VLOOKUP(M89,Ads_Mapping!$H$2:$I$499,2,FALSE),"Unmapped")</f>
        <v/>
      </c>
      <c r="M89" s="14">
        <f>IF(B89&lt;&gt;"",B89&amp;"|"&amp;C89&amp;"|"&amp;D89,"")</f>
        <v/>
      </c>
      <c r="N89" s="20">
        <f>IFERROR(I89/H89,"")</f>
        <v/>
      </c>
      <c r="O89" s="21">
        <f>IFERROR(G89/I89,"")</f>
        <v/>
      </c>
      <c r="P89" s="21">
        <f>IFERROR(G89/H89*1000,"")</f>
        <v/>
      </c>
      <c r="Q89" s="21">
        <f>IFERROR(G89/J89,"")</f>
        <v/>
      </c>
      <c r="R89" s="22">
        <f>IFERROR(K89/G89,"")</f>
        <v/>
      </c>
    </row>
    <row r="90">
      <c r="A90" s="11" t="n"/>
      <c r="G90" s="19" t="n"/>
      <c r="K90" s="19" t="n"/>
      <c r="L90" s="14">
        <f>IFERROR(VLOOKUP(M90,Ads_Mapping!$H$2:$I$499,2,FALSE),"Unmapped")</f>
        <v/>
      </c>
      <c r="M90" s="14">
        <f>IF(B90&lt;&gt;"",B90&amp;"|"&amp;C90&amp;"|"&amp;D90,"")</f>
        <v/>
      </c>
      <c r="N90" s="20">
        <f>IFERROR(I90/H90,"")</f>
        <v/>
      </c>
      <c r="O90" s="21">
        <f>IFERROR(G90/I90,"")</f>
        <v/>
      </c>
      <c r="P90" s="21">
        <f>IFERROR(G90/H90*1000,"")</f>
        <v/>
      </c>
      <c r="Q90" s="21">
        <f>IFERROR(G90/J90,"")</f>
        <v/>
      </c>
      <c r="R90" s="22">
        <f>IFERROR(K90/G90,"")</f>
        <v/>
      </c>
    </row>
    <row r="91">
      <c r="A91" s="11" t="n"/>
      <c r="G91" s="19" t="n"/>
      <c r="K91" s="19" t="n"/>
      <c r="L91" s="14">
        <f>IFERROR(VLOOKUP(M91,Ads_Mapping!$H$2:$I$499,2,FALSE),"Unmapped")</f>
        <v/>
      </c>
      <c r="M91" s="14">
        <f>IF(B91&lt;&gt;"",B91&amp;"|"&amp;C91&amp;"|"&amp;D91,"")</f>
        <v/>
      </c>
      <c r="N91" s="20">
        <f>IFERROR(I91/H91,"")</f>
        <v/>
      </c>
      <c r="O91" s="21">
        <f>IFERROR(G91/I91,"")</f>
        <v/>
      </c>
      <c r="P91" s="21">
        <f>IFERROR(G91/H91*1000,"")</f>
        <v/>
      </c>
      <c r="Q91" s="21">
        <f>IFERROR(G91/J91,"")</f>
        <v/>
      </c>
      <c r="R91" s="22">
        <f>IFERROR(K91/G91,"")</f>
        <v/>
      </c>
    </row>
    <row r="92">
      <c r="A92" s="11" t="n"/>
      <c r="G92" s="19" t="n"/>
      <c r="K92" s="19" t="n"/>
      <c r="L92" s="14">
        <f>IFERROR(VLOOKUP(M92,Ads_Mapping!$H$2:$I$499,2,FALSE),"Unmapped")</f>
        <v/>
      </c>
      <c r="M92" s="14">
        <f>IF(B92&lt;&gt;"",B92&amp;"|"&amp;C92&amp;"|"&amp;D92,"")</f>
        <v/>
      </c>
      <c r="N92" s="20">
        <f>IFERROR(I92/H92,"")</f>
        <v/>
      </c>
      <c r="O92" s="21">
        <f>IFERROR(G92/I92,"")</f>
        <v/>
      </c>
      <c r="P92" s="21">
        <f>IFERROR(G92/H92*1000,"")</f>
        <v/>
      </c>
      <c r="Q92" s="21">
        <f>IFERROR(G92/J92,"")</f>
        <v/>
      </c>
      <c r="R92" s="22">
        <f>IFERROR(K92/G92,"")</f>
        <v/>
      </c>
    </row>
    <row r="93">
      <c r="A93" s="11" t="n"/>
      <c r="G93" s="19" t="n"/>
      <c r="K93" s="19" t="n"/>
      <c r="L93" s="14">
        <f>IFERROR(VLOOKUP(M93,Ads_Mapping!$H$2:$I$499,2,FALSE),"Unmapped")</f>
        <v/>
      </c>
      <c r="M93" s="14">
        <f>IF(B93&lt;&gt;"",B93&amp;"|"&amp;C93&amp;"|"&amp;D93,"")</f>
        <v/>
      </c>
      <c r="N93" s="20">
        <f>IFERROR(I93/H93,"")</f>
        <v/>
      </c>
      <c r="O93" s="21">
        <f>IFERROR(G93/I93,"")</f>
        <v/>
      </c>
      <c r="P93" s="21">
        <f>IFERROR(G93/H93*1000,"")</f>
        <v/>
      </c>
      <c r="Q93" s="21">
        <f>IFERROR(G93/J93,"")</f>
        <v/>
      </c>
      <c r="R93" s="22">
        <f>IFERROR(K93/G93,"")</f>
        <v/>
      </c>
    </row>
    <row r="94">
      <c r="A94" s="11" t="n"/>
      <c r="G94" s="19" t="n"/>
      <c r="K94" s="19" t="n"/>
      <c r="L94" s="14">
        <f>IFERROR(VLOOKUP(M94,Ads_Mapping!$H$2:$I$499,2,FALSE),"Unmapped")</f>
        <v/>
      </c>
      <c r="M94" s="14">
        <f>IF(B94&lt;&gt;"",B94&amp;"|"&amp;C94&amp;"|"&amp;D94,"")</f>
        <v/>
      </c>
      <c r="N94" s="20">
        <f>IFERROR(I94/H94,"")</f>
        <v/>
      </c>
      <c r="O94" s="21">
        <f>IFERROR(G94/I94,"")</f>
        <v/>
      </c>
      <c r="P94" s="21">
        <f>IFERROR(G94/H94*1000,"")</f>
        <v/>
      </c>
      <c r="Q94" s="21">
        <f>IFERROR(G94/J94,"")</f>
        <v/>
      </c>
      <c r="R94" s="22">
        <f>IFERROR(K94/G94,"")</f>
        <v/>
      </c>
    </row>
    <row r="95">
      <c r="A95" s="11" t="n"/>
      <c r="G95" s="19" t="n"/>
      <c r="K95" s="19" t="n"/>
      <c r="L95" s="14">
        <f>IFERROR(VLOOKUP(M95,Ads_Mapping!$H$2:$I$499,2,FALSE),"Unmapped")</f>
        <v/>
      </c>
      <c r="M95" s="14">
        <f>IF(B95&lt;&gt;"",B95&amp;"|"&amp;C95&amp;"|"&amp;D95,"")</f>
        <v/>
      </c>
      <c r="N95" s="20">
        <f>IFERROR(I95/H95,"")</f>
        <v/>
      </c>
      <c r="O95" s="21">
        <f>IFERROR(G95/I95,"")</f>
        <v/>
      </c>
      <c r="P95" s="21">
        <f>IFERROR(G95/H95*1000,"")</f>
        <v/>
      </c>
      <c r="Q95" s="21">
        <f>IFERROR(G95/J95,"")</f>
        <v/>
      </c>
      <c r="R95" s="22">
        <f>IFERROR(K95/G95,"")</f>
        <v/>
      </c>
    </row>
    <row r="96">
      <c r="A96" s="11" t="n"/>
      <c r="G96" s="19" t="n"/>
      <c r="K96" s="19" t="n"/>
      <c r="L96" s="14">
        <f>IFERROR(VLOOKUP(M96,Ads_Mapping!$H$2:$I$499,2,FALSE),"Unmapped")</f>
        <v/>
      </c>
      <c r="M96" s="14">
        <f>IF(B96&lt;&gt;"",B96&amp;"|"&amp;C96&amp;"|"&amp;D96,"")</f>
        <v/>
      </c>
      <c r="N96" s="20">
        <f>IFERROR(I96/H96,"")</f>
        <v/>
      </c>
      <c r="O96" s="21">
        <f>IFERROR(G96/I96,"")</f>
        <v/>
      </c>
      <c r="P96" s="21">
        <f>IFERROR(G96/H96*1000,"")</f>
        <v/>
      </c>
      <c r="Q96" s="21">
        <f>IFERROR(G96/J96,"")</f>
        <v/>
      </c>
      <c r="R96" s="22">
        <f>IFERROR(K96/G96,"")</f>
        <v/>
      </c>
    </row>
    <row r="97">
      <c r="A97" s="11" t="n"/>
      <c r="G97" s="19" t="n"/>
      <c r="K97" s="19" t="n"/>
      <c r="L97" s="14">
        <f>IFERROR(VLOOKUP(M97,Ads_Mapping!$H$2:$I$499,2,FALSE),"Unmapped")</f>
        <v/>
      </c>
      <c r="M97" s="14">
        <f>IF(B97&lt;&gt;"",B97&amp;"|"&amp;C97&amp;"|"&amp;D97,"")</f>
        <v/>
      </c>
      <c r="N97" s="20">
        <f>IFERROR(I97/H97,"")</f>
        <v/>
      </c>
      <c r="O97" s="21">
        <f>IFERROR(G97/I97,"")</f>
        <v/>
      </c>
      <c r="P97" s="21">
        <f>IFERROR(G97/H97*1000,"")</f>
        <v/>
      </c>
      <c r="Q97" s="21">
        <f>IFERROR(G97/J97,"")</f>
        <v/>
      </c>
      <c r="R97" s="22">
        <f>IFERROR(K97/G97,"")</f>
        <v/>
      </c>
    </row>
    <row r="98">
      <c r="A98" s="11" t="n"/>
      <c r="G98" s="19" t="n"/>
      <c r="K98" s="19" t="n"/>
      <c r="L98" s="14">
        <f>IFERROR(VLOOKUP(M98,Ads_Mapping!$H$2:$I$499,2,FALSE),"Unmapped")</f>
        <v/>
      </c>
      <c r="M98" s="14">
        <f>IF(B98&lt;&gt;"",B98&amp;"|"&amp;C98&amp;"|"&amp;D98,"")</f>
        <v/>
      </c>
      <c r="N98" s="20">
        <f>IFERROR(I98/H98,"")</f>
        <v/>
      </c>
      <c r="O98" s="21">
        <f>IFERROR(G98/I98,"")</f>
        <v/>
      </c>
      <c r="P98" s="21">
        <f>IFERROR(G98/H98*1000,"")</f>
        <v/>
      </c>
      <c r="Q98" s="21">
        <f>IFERROR(G98/J98,"")</f>
        <v/>
      </c>
      <c r="R98" s="22">
        <f>IFERROR(K98/G98,"")</f>
        <v/>
      </c>
    </row>
    <row r="99">
      <c r="A99" s="11" t="n"/>
      <c r="G99" s="19" t="n"/>
      <c r="K99" s="19" t="n"/>
      <c r="L99" s="14">
        <f>IFERROR(VLOOKUP(M99,Ads_Mapping!$H$2:$I$499,2,FALSE),"Unmapped")</f>
        <v/>
      </c>
      <c r="M99" s="14">
        <f>IF(B99&lt;&gt;"",B99&amp;"|"&amp;C99&amp;"|"&amp;D99,"")</f>
        <v/>
      </c>
      <c r="N99" s="20">
        <f>IFERROR(I99/H99,"")</f>
        <v/>
      </c>
      <c r="O99" s="21">
        <f>IFERROR(G99/I99,"")</f>
        <v/>
      </c>
      <c r="P99" s="21">
        <f>IFERROR(G99/H99*1000,"")</f>
        <v/>
      </c>
      <c r="Q99" s="21">
        <f>IFERROR(G99/J99,"")</f>
        <v/>
      </c>
      <c r="R99" s="22">
        <f>IFERROR(K99/G99,"")</f>
        <v/>
      </c>
    </row>
    <row r="100">
      <c r="A100" s="11" t="n"/>
      <c r="G100" s="19" t="n"/>
      <c r="K100" s="19" t="n"/>
      <c r="L100" s="14">
        <f>IFERROR(VLOOKUP(M100,Ads_Mapping!$H$2:$I$499,2,FALSE),"Unmapped")</f>
        <v/>
      </c>
      <c r="M100" s="14">
        <f>IF(B100&lt;&gt;"",B100&amp;"|"&amp;C100&amp;"|"&amp;D100,"")</f>
        <v/>
      </c>
      <c r="N100" s="20">
        <f>IFERROR(I100/H100,"")</f>
        <v/>
      </c>
      <c r="O100" s="21">
        <f>IFERROR(G100/I100,"")</f>
        <v/>
      </c>
      <c r="P100" s="21">
        <f>IFERROR(G100/H100*1000,"")</f>
        <v/>
      </c>
      <c r="Q100" s="21">
        <f>IFERROR(G100/J100,"")</f>
        <v/>
      </c>
      <c r="R100" s="22">
        <f>IFERROR(K100/G100,"")</f>
        <v/>
      </c>
    </row>
    <row r="101">
      <c r="A101" s="11" t="n"/>
      <c r="G101" s="19" t="n"/>
      <c r="K101" s="19" t="n"/>
      <c r="L101" s="14">
        <f>IFERROR(VLOOKUP(M101,Ads_Mapping!$H$2:$I$499,2,FALSE),"Unmapped")</f>
        <v/>
      </c>
      <c r="M101" s="14">
        <f>IF(B101&lt;&gt;"",B101&amp;"|"&amp;C101&amp;"|"&amp;D101,"")</f>
        <v/>
      </c>
      <c r="N101" s="20">
        <f>IFERROR(I101/H101,"")</f>
        <v/>
      </c>
      <c r="O101" s="21">
        <f>IFERROR(G101/I101,"")</f>
        <v/>
      </c>
      <c r="P101" s="21">
        <f>IFERROR(G101/H101*1000,"")</f>
        <v/>
      </c>
      <c r="Q101" s="21">
        <f>IFERROR(G101/J101,"")</f>
        <v/>
      </c>
      <c r="R101" s="22">
        <f>IFERROR(K101/G101,"")</f>
        <v/>
      </c>
    </row>
    <row r="102">
      <c r="A102" s="11" t="n"/>
      <c r="G102" s="19" t="n"/>
      <c r="K102" s="19" t="n"/>
      <c r="L102" s="14">
        <f>IFERROR(VLOOKUP(M102,Ads_Mapping!$H$2:$I$499,2,FALSE),"Unmapped")</f>
        <v/>
      </c>
      <c r="M102" s="14">
        <f>IF(B102&lt;&gt;"",B102&amp;"|"&amp;C102&amp;"|"&amp;D102,"")</f>
        <v/>
      </c>
      <c r="N102" s="20">
        <f>IFERROR(I102/H102,"")</f>
        <v/>
      </c>
      <c r="O102" s="21">
        <f>IFERROR(G102/I102,"")</f>
        <v/>
      </c>
      <c r="P102" s="21">
        <f>IFERROR(G102/H102*1000,"")</f>
        <v/>
      </c>
      <c r="Q102" s="21">
        <f>IFERROR(G102/J102,"")</f>
        <v/>
      </c>
      <c r="R102" s="22">
        <f>IFERROR(K102/G102,"")</f>
        <v/>
      </c>
    </row>
    <row r="103">
      <c r="A103" s="11" t="n"/>
      <c r="G103" s="19" t="n"/>
      <c r="K103" s="19" t="n"/>
      <c r="L103" s="14">
        <f>IFERROR(VLOOKUP(M103,Ads_Mapping!$H$2:$I$499,2,FALSE),"Unmapped")</f>
        <v/>
      </c>
      <c r="M103" s="14">
        <f>IF(B103&lt;&gt;"",B103&amp;"|"&amp;C103&amp;"|"&amp;D103,"")</f>
        <v/>
      </c>
      <c r="N103" s="20">
        <f>IFERROR(I103/H103,"")</f>
        <v/>
      </c>
      <c r="O103" s="21">
        <f>IFERROR(G103/I103,"")</f>
        <v/>
      </c>
      <c r="P103" s="21">
        <f>IFERROR(G103/H103*1000,"")</f>
        <v/>
      </c>
      <c r="Q103" s="21">
        <f>IFERROR(G103/J103,"")</f>
        <v/>
      </c>
      <c r="R103" s="22">
        <f>IFERROR(K103/G103,"")</f>
        <v/>
      </c>
    </row>
    <row r="104">
      <c r="A104" s="11" t="n"/>
      <c r="G104" s="19" t="n"/>
      <c r="K104" s="19" t="n"/>
      <c r="L104" s="14">
        <f>IFERROR(VLOOKUP(M104,Ads_Mapping!$H$2:$I$499,2,FALSE),"Unmapped")</f>
        <v/>
      </c>
      <c r="M104" s="14">
        <f>IF(B104&lt;&gt;"",B104&amp;"|"&amp;C104&amp;"|"&amp;D104,"")</f>
        <v/>
      </c>
      <c r="N104" s="20">
        <f>IFERROR(I104/H104,"")</f>
        <v/>
      </c>
      <c r="O104" s="21">
        <f>IFERROR(G104/I104,"")</f>
        <v/>
      </c>
      <c r="P104" s="21">
        <f>IFERROR(G104/H104*1000,"")</f>
        <v/>
      </c>
      <c r="Q104" s="21">
        <f>IFERROR(G104/J104,"")</f>
        <v/>
      </c>
      <c r="R104" s="22">
        <f>IFERROR(K104/G104,"")</f>
        <v/>
      </c>
    </row>
    <row r="105">
      <c r="A105" s="11" t="n"/>
      <c r="G105" s="19" t="n"/>
      <c r="K105" s="19" t="n"/>
      <c r="L105" s="14">
        <f>IFERROR(VLOOKUP(M105,Ads_Mapping!$H$2:$I$499,2,FALSE),"Unmapped")</f>
        <v/>
      </c>
      <c r="M105" s="14">
        <f>IF(B105&lt;&gt;"",B105&amp;"|"&amp;C105&amp;"|"&amp;D105,"")</f>
        <v/>
      </c>
      <c r="N105" s="20">
        <f>IFERROR(I105/H105,"")</f>
        <v/>
      </c>
      <c r="O105" s="21">
        <f>IFERROR(G105/I105,"")</f>
        <v/>
      </c>
      <c r="P105" s="21">
        <f>IFERROR(G105/H105*1000,"")</f>
        <v/>
      </c>
      <c r="Q105" s="21">
        <f>IFERROR(G105/J105,"")</f>
        <v/>
      </c>
      <c r="R105" s="22">
        <f>IFERROR(K105/G105,"")</f>
        <v/>
      </c>
    </row>
    <row r="106">
      <c r="A106" s="11" t="n"/>
      <c r="G106" s="19" t="n"/>
      <c r="K106" s="19" t="n"/>
      <c r="L106" s="14">
        <f>IFERROR(VLOOKUP(M106,Ads_Mapping!$H$2:$I$499,2,FALSE),"Unmapped")</f>
        <v/>
      </c>
      <c r="M106" s="14">
        <f>IF(B106&lt;&gt;"",B106&amp;"|"&amp;C106&amp;"|"&amp;D106,"")</f>
        <v/>
      </c>
      <c r="N106" s="20">
        <f>IFERROR(I106/H106,"")</f>
        <v/>
      </c>
      <c r="O106" s="21">
        <f>IFERROR(G106/I106,"")</f>
        <v/>
      </c>
      <c r="P106" s="21">
        <f>IFERROR(G106/H106*1000,"")</f>
        <v/>
      </c>
      <c r="Q106" s="21">
        <f>IFERROR(G106/J106,"")</f>
        <v/>
      </c>
      <c r="R106" s="22">
        <f>IFERROR(K106/G106,"")</f>
        <v/>
      </c>
    </row>
    <row r="107">
      <c r="A107" s="11" t="n"/>
      <c r="G107" s="19" t="n"/>
      <c r="K107" s="19" t="n"/>
      <c r="L107" s="14">
        <f>IFERROR(VLOOKUP(M107,Ads_Mapping!$H$2:$I$499,2,FALSE),"Unmapped")</f>
        <v/>
      </c>
      <c r="M107" s="14">
        <f>IF(B107&lt;&gt;"",B107&amp;"|"&amp;C107&amp;"|"&amp;D107,"")</f>
        <v/>
      </c>
      <c r="N107" s="20">
        <f>IFERROR(I107/H107,"")</f>
        <v/>
      </c>
      <c r="O107" s="21">
        <f>IFERROR(G107/I107,"")</f>
        <v/>
      </c>
      <c r="P107" s="21">
        <f>IFERROR(G107/H107*1000,"")</f>
        <v/>
      </c>
      <c r="Q107" s="21">
        <f>IFERROR(G107/J107,"")</f>
        <v/>
      </c>
      <c r="R107" s="22">
        <f>IFERROR(K107/G107,"")</f>
        <v/>
      </c>
    </row>
    <row r="108">
      <c r="A108" s="11" t="n"/>
      <c r="G108" s="19" t="n"/>
      <c r="K108" s="19" t="n"/>
      <c r="L108" s="14">
        <f>IFERROR(VLOOKUP(M108,Ads_Mapping!$H$2:$I$499,2,FALSE),"Unmapped")</f>
        <v/>
      </c>
      <c r="M108" s="14">
        <f>IF(B108&lt;&gt;"",B108&amp;"|"&amp;C108&amp;"|"&amp;D108,"")</f>
        <v/>
      </c>
      <c r="N108" s="20">
        <f>IFERROR(I108/H108,"")</f>
        <v/>
      </c>
      <c r="O108" s="21">
        <f>IFERROR(G108/I108,"")</f>
        <v/>
      </c>
      <c r="P108" s="21">
        <f>IFERROR(G108/H108*1000,"")</f>
        <v/>
      </c>
      <c r="Q108" s="21">
        <f>IFERROR(G108/J108,"")</f>
        <v/>
      </c>
      <c r="R108" s="22">
        <f>IFERROR(K108/G108,"")</f>
        <v/>
      </c>
    </row>
    <row r="109">
      <c r="A109" s="11" t="n"/>
      <c r="G109" s="19" t="n"/>
      <c r="K109" s="19" t="n"/>
      <c r="L109" s="14">
        <f>IFERROR(VLOOKUP(M109,Ads_Mapping!$H$2:$I$499,2,FALSE),"Unmapped")</f>
        <v/>
      </c>
      <c r="M109" s="14">
        <f>IF(B109&lt;&gt;"",B109&amp;"|"&amp;C109&amp;"|"&amp;D109,"")</f>
        <v/>
      </c>
      <c r="N109" s="20">
        <f>IFERROR(I109/H109,"")</f>
        <v/>
      </c>
      <c r="O109" s="21">
        <f>IFERROR(G109/I109,"")</f>
        <v/>
      </c>
      <c r="P109" s="21">
        <f>IFERROR(G109/H109*1000,"")</f>
        <v/>
      </c>
      <c r="Q109" s="21">
        <f>IFERROR(G109/J109,"")</f>
        <v/>
      </c>
      <c r="R109" s="22">
        <f>IFERROR(K109/G109,"")</f>
        <v/>
      </c>
    </row>
    <row r="110">
      <c r="A110" s="11" t="n"/>
      <c r="G110" s="19" t="n"/>
      <c r="K110" s="19" t="n"/>
      <c r="L110" s="14">
        <f>IFERROR(VLOOKUP(M110,Ads_Mapping!$H$2:$I$499,2,FALSE),"Unmapped")</f>
        <v/>
      </c>
      <c r="M110" s="14">
        <f>IF(B110&lt;&gt;"",B110&amp;"|"&amp;C110&amp;"|"&amp;D110,"")</f>
        <v/>
      </c>
      <c r="N110" s="20">
        <f>IFERROR(I110/H110,"")</f>
        <v/>
      </c>
      <c r="O110" s="21">
        <f>IFERROR(G110/I110,"")</f>
        <v/>
      </c>
      <c r="P110" s="21">
        <f>IFERROR(G110/H110*1000,"")</f>
        <v/>
      </c>
      <c r="Q110" s="21">
        <f>IFERROR(G110/J110,"")</f>
        <v/>
      </c>
      <c r="R110" s="22">
        <f>IFERROR(K110/G110,"")</f>
        <v/>
      </c>
    </row>
    <row r="111">
      <c r="A111" s="11" t="n"/>
      <c r="G111" s="19" t="n"/>
      <c r="K111" s="19" t="n"/>
      <c r="L111" s="14">
        <f>IFERROR(VLOOKUP(M111,Ads_Mapping!$H$2:$I$499,2,FALSE),"Unmapped")</f>
        <v/>
      </c>
      <c r="M111" s="14">
        <f>IF(B111&lt;&gt;"",B111&amp;"|"&amp;C111&amp;"|"&amp;D111,"")</f>
        <v/>
      </c>
      <c r="N111" s="20">
        <f>IFERROR(I111/H111,"")</f>
        <v/>
      </c>
      <c r="O111" s="21">
        <f>IFERROR(G111/I111,"")</f>
        <v/>
      </c>
      <c r="P111" s="21">
        <f>IFERROR(G111/H111*1000,"")</f>
        <v/>
      </c>
      <c r="Q111" s="21">
        <f>IFERROR(G111/J111,"")</f>
        <v/>
      </c>
      <c r="R111" s="22">
        <f>IFERROR(K111/G111,"")</f>
        <v/>
      </c>
    </row>
    <row r="112">
      <c r="A112" s="11" t="n"/>
      <c r="G112" s="19" t="n"/>
      <c r="K112" s="19" t="n"/>
      <c r="L112" s="14">
        <f>IFERROR(VLOOKUP(M112,Ads_Mapping!$H$2:$I$499,2,FALSE),"Unmapped")</f>
        <v/>
      </c>
      <c r="M112" s="14">
        <f>IF(B112&lt;&gt;"",B112&amp;"|"&amp;C112&amp;"|"&amp;D112,"")</f>
        <v/>
      </c>
      <c r="N112" s="20">
        <f>IFERROR(I112/H112,"")</f>
        <v/>
      </c>
      <c r="O112" s="21">
        <f>IFERROR(G112/I112,"")</f>
        <v/>
      </c>
      <c r="P112" s="21">
        <f>IFERROR(G112/H112*1000,"")</f>
        <v/>
      </c>
      <c r="Q112" s="21">
        <f>IFERROR(G112/J112,"")</f>
        <v/>
      </c>
      <c r="R112" s="22">
        <f>IFERROR(K112/G112,"")</f>
        <v/>
      </c>
    </row>
    <row r="113">
      <c r="A113" s="11" t="n"/>
      <c r="G113" s="19" t="n"/>
      <c r="K113" s="19" t="n"/>
      <c r="L113" s="14">
        <f>IFERROR(VLOOKUP(M113,Ads_Mapping!$H$2:$I$499,2,FALSE),"Unmapped")</f>
        <v/>
      </c>
      <c r="M113" s="14">
        <f>IF(B113&lt;&gt;"",B113&amp;"|"&amp;C113&amp;"|"&amp;D113,"")</f>
        <v/>
      </c>
      <c r="N113" s="20">
        <f>IFERROR(I113/H113,"")</f>
        <v/>
      </c>
      <c r="O113" s="21">
        <f>IFERROR(G113/I113,"")</f>
        <v/>
      </c>
      <c r="P113" s="21">
        <f>IFERROR(G113/H113*1000,"")</f>
        <v/>
      </c>
      <c r="Q113" s="21">
        <f>IFERROR(G113/J113,"")</f>
        <v/>
      </c>
      <c r="R113" s="22">
        <f>IFERROR(K113/G113,"")</f>
        <v/>
      </c>
    </row>
    <row r="114">
      <c r="A114" s="11" t="n"/>
      <c r="G114" s="19" t="n"/>
      <c r="K114" s="19" t="n"/>
      <c r="L114" s="14">
        <f>IFERROR(VLOOKUP(M114,Ads_Mapping!$H$2:$I$499,2,FALSE),"Unmapped")</f>
        <v/>
      </c>
      <c r="M114" s="14">
        <f>IF(B114&lt;&gt;"",B114&amp;"|"&amp;C114&amp;"|"&amp;D114,"")</f>
        <v/>
      </c>
      <c r="N114" s="20">
        <f>IFERROR(I114/H114,"")</f>
        <v/>
      </c>
      <c r="O114" s="21">
        <f>IFERROR(G114/I114,"")</f>
        <v/>
      </c>
      <c r="P114" s="21">
        <f>IFERROR(G114/H114*1000,"")</f>
        <v/>
      </c>
      <c r="Q114" s="21">
        <f>IFERROR(G114/J114,"")</f>
        <v/>
      </c>
      <c r="R114" s="22">
        <f>IFERROR(K114/G114,"")</f>
        <v/>
      </c>
    </row>
    <row r="115">
      <c r="A115" s="11" t="n"/>
      <c r="G115" s="19" t="n"/>
      <c r="K115" s="19" t="n"/>
      <c r="L115" s="14">
        <f>IFERROR(VLOOKUP(M115,Ads_Mapping!$H$2:$I$499,2,FALSE),"Unmapped")</f>
        <v/>
      </c>
      <c r="M115" s="14">
        <f>IF(B115&lt;&gt;"",B115&amp;"|"&amp;C115&amp;"|"&amp;D115,"")</f>
        <v/>
      </c>
      <c r="N115" s="20">
        <f>IFERROR(I115/H115,"")</f>
        <v/>
      </c>
      <c r="O115" s="21">
        <f>IFERROR(G115/I115,"")</f>
        <v/>
      </c>
      <c r="P115" s="21">
        <f>IFERROR(G115/H115*1000,"")</f>
        <v/>
      </c>
      <c r="Q115" s="21">
        <f>IFERROR(G115/J115,"")</f>
        <v/>
      </c>
      <c r="R115" s="22">
        <f>IFERROR(K115/G115,"")</f>
        <v/>
      </c>
    </row>
    <row r="116">
      <c r="A116" s="11" t="n"/>
      <c r="G116" s="19" t="n"/>
      <c r="K116" s="19" t="n"/>
      <c r="L116" s="14">
        <f>IFERROR(VLOOKUP(M116,Ads_Mapping!$H$2:$I$499,2,FALSE),"Unmapped")</f>
        <v/>
      </c>
      <c r="M116" s="14">
        <f>IF(B116&lt;&gt;"",B116&amp;"|"&amp;C116&amp;"|"&amp;D116,"")</f>
        <v/>
      </c>
      <c r="N116" s="20">
        <f>IFERROR(I116/H116,"")</f>
        <v/>
      </c>
      <c r="O116" s="21">
        <f>IFERROR(G116/I116,"")</f>
        <v/>
      </c>
      <c r="P116" s="21">
        <f>IFERROR(G116/H116*1000,"")</f>
        <v/>
      </c>
      <c r="Q116" s="21">
        <f>IFERROR(G116/J116,"")</f>
        <v/>
      </c>
      <c r="R116" s="22">
        <f>IFERROR(K116/G116,"")</f>
        <v/>
      </c>
    </row>
    <row r="117">
      <c r="A117" s="11" t="n"/>
      <c r="G117" s="19" t="n"/>
      <c r="K117" s="19" t="n"/>
      <c r="L117" s="14">
        <f>IFERROR(VLOOKUP(M117,Ads_Mapping!$H$2:$I$499,2,FALSE),"Unmapped")</f>
        <v/>
      </c>
      <c r="M117" s="14">
        <f>IF(B117&lt;&gt;"",B117&amp;"|"&amp;C117&amp;"|"&amp;D117,"")</f>
        <v/>
      </c>
      <c r="N117" s="20">
        <f>IFERROR(I117/H117,"")</f>
        <v/>
      </c>
      <c r="O117" s="21">
        <f>IFERROR(G117/I117,"")</f>
        <v/>
      </c>
      <c r="P117" s="21">
        <f>IFERROR(G117/H117*1000,"")</f>
        <v/>
      </c>
      <c r="Q117" s="21">
        <f>IFERROR(G117/J117,"")</f>
        <v/>
      </c>
      <c r="R117" s="22">
        <f>IFERROR(K117/G117,"")</f>
        <v/>
      </c>
    </row>
    <row r="118">
      <c r="A118" s="11" t="n"/>
      <c r="G118" s="19" t="n"/>
      <c r="K118" s="19" t="n"/>
      <c r="L118" s="14">
        <f>IFERROR(VLOOKUP(M118,Ads_Mapping!$H$2:$I$499,2,FALSE),"Unmapped")</f>
        <v/>
      </c>
      <c r="M118" s="14">
        <f>IF(B118&lt;&gt;"",B118&amp;"|"&amp;C118&amp;"|"&amp;D118,"")</f>
        <v/>
      </c>
      <c r="N118" s="20">
        <f>IFERROR(I118/H118,"")</f>
        <v/>
      </c>
      <c r="O118" s="21">
        <f>IFERROR(G118/I118,"")</f>
        <v/>
      </c>
      <c r="P118" s="21">
        <f>IFERROR(G118/H118*1000,"")</f>
        <v/>
      </c>
      <c r="Q118" s="21">
        <f>IFERROR(G118/J118,"")</f>
        <v/>
      </c>
      <c r="R118" s="22">
        <f>IFERROR(K118/G118,"")</f>
        <v/>
      </c>
    </row>
    <row r="119">
      <c r="A119" s="11" t="n"/>
      <c r="G119" s="19" t="n"/>
      <c r="K119" s="19" t="n"/>
      <c r="L119" s="14">
        <f>IFERROR(VLOOKUP(M119,Ads_Mapping!$H$2:$I$499,2,FALSE),"Unmapped")</f>
        <v/>
      </c>
      <c r="M119" s="14">
        <f>IF(B119&lt;&gt;"",B119&amp;"|"&amp;C119&amp;"|"&amp;D119,"")</f>
        <v/>
      </c>
      <c r="N119" s="20">
        <f>IFERROR(I119/H119,"")</f>
        <v/>
      </c>
      <c r="O119" s="21">
        <f>IFERROR(G119/I119,"")</f>
        <v/>
      </c>
      <c r="P119" s="21">
        <f>IFERROR(G119/H119*1000,"")</f>
        <v/>
      </c>
      <c r="Q119" s="21">
        <f>IFERROR(G119/J119,"")</f>
        <v/>
      </c>
      <c r="R119" s="22">
        <f>IFERROR(K119/G119,"")</f>
        <v/>
      </c>
    </row>
    <row r="120">
      <c r="A120" s="11" t="n"/>
      <c r="G120" s="19" t="n"/>
      <c r="K120" s="19" t="n"/>
      <c r="L120" s="14">
        <f>IFERROR(VLOOKUP(M120,Ads_Mapping!$H$2:$I$499,2,FALSE),"Unmapped")</f>
        <v/>
      </c>
      <c r="M120" s="14">
        <f>IF(B120&lt;&gt;"",B120&amp;"|"&amp;C120&amp;"|"&amp;D120,"")</f>
        <v/>
      </c>
      <c r="N120" s="20">
        <f>IFERROR(I120/H120,"")</f>
        <v/>
      </c>
      <c r="O120" s="21">
        <f>IFERROR(G120/I120,"")</f>
        <v/>
      </c>
      <c r="P120" s="21">
        <f>IFERROR(G120/H120*1000,"")</f>
        <v/>
      </c>
      <c r="Q120" s="21">
        <f>IFERROR(G120/J120,"")</f>
        <v/>
      </c>
      <c r="R120" s="22">
        <f>IFERROR(K120/G120,"")</f>
        <v/>
      </c>
    </row>
    <row r="121">
      <c r="A121" s="11" t="n"/>
      <c r="G121" s="19" t="n"/>
      <c r="K121" s="19" t="n"/>
      <c r="L121" s="14">
        <f>IFERROR(VLOOKUP(M121,Ads_Mapping!$H$2:$I$499,2,FALSE),"Unmapped")</f>
        <v/>
      </c>
      <c r="M121" s="14">
        <f>IF(B121&lt;&gt;"",B121&amp;"|"&amp;C121&amp;"|"&amp;D121,"")</f>
        <v/>
      </c>
      <c r="N121" s="20">
        <f>IFERROR(I121/H121,"")</f>
        <v/>
      </c>
      <c r="O121" s="21">
        <f>IFERROR(G121/I121,"")</f>
        <v/>
      </c>
      <c r="P121" s="21">
        <f>IFERROR(G121/H121*1000,"")</f>
        <v/>
      </c>
      <c r="Q121" s="21">
        <f>IFERROR(G121/J121,"")</f>
        <v/>
      </c>
      <c r="R121" s="22">
        <f>IFERROR(K121/G121,"")</f>
        <v/>
      </c>
    </row>
    <row r="122">
      <c r="A122" s="11" t="n"/>
      <c r="G122" s="19" t="n"/>
      <c r="K122" s="19" t="n"/>
      <c r="L122" s="14">
        <f>IFERROR(VLOOKUP(M122,Ads_Mapping!$H$2:$I$499,2,FALSE),"Unmapped")</f>
        <v/>
      </c>
      <c r="M122" s="14">
        <f>IF(B122&lt;&gt;"",B122&amp;"|"&amp;C122&amp;"|"&amp;D122,"")</f>
        <v/>
      </c>
      <c r="N122" s="20">
        <f>IFERROR(I122/H122,"")</f>
        <v/>
      </c>
      <c r="O122" s="21">
        <f>IFERROR(G122/I122,"")</f>
        <v/>
      </c>
      <c r="P122" s="21">
        <f>IFERROR(G122/H122*1000,"")</f>
        <v/>
      </c>
      <c r="Q122" s="21">
        <f>IFERROR(G122/J122,"")</f>
        <v/>
      </c>
      <c r="R122" s="22">
        <f>IFERROR(K122/G122,"")</f>
        <v/>
      </c>
    </row>
    <row r="123">
      <c r="A123" s="11" t="n"/>
      <c r="G123" s="19" t="n"/>
      <c r="K123" s="19" t="n"/>
      <c r="L123" s="14">
        <f>IFERROR(VLOOKUP(M123,Ads_Mapping!$H$2:$I$499,2,FALSE),"Unmapped")</f>
        <v/>
      </c>
      <c r="M123" s="14">
        <f>IF(B123&lt;&gt;"",B123&amp;"|"&amp;C123&amp;"|"&amp;D123,"")</f>
        <v/>
      </c>
      <c r="N123" s="20">
        <f>IFERROR(I123/H123,"")</f>
        <v/>
      </c>
      <c r="O123" s="21">
        <f>IFERROR(G123/I123,"")</f>
        <v/>
      </c>
      <c r="P123" s="21">
        <f>IFERROR(G123/H123*1000,"")</f>
        <v/>
      </c>
      <c r="Q123" s="21">
        <f>IFERROR(G123/J123,"")</f>
        <v/>
      </c>
      <c r="R123" s="22">
        <f>IFERROR(K123/G123,"")</f>
        <v/>
      </c>
    </row>
    <row r="124">
      <c r="A124" s="11" t="n"/>
      <c r="G124" s="19" t="n"/>
      <c r="K124" s="19" t="n"/>
      <c r="L124" s="14">
        <f>IFERROR(VLOOKUP(M124,Ads_Mapping!$H$2:$I$499,2,FALSE),"Unmapped")</f>
        <v/>
      </c>
      <c r="M124" s="14">
        <f>IF(B124&lt;&gt;"",B124&amp;"|"&amp;C124&amp;"|"&amp;D124,"")</f>
        <v/>
      </c>
      <c r="N124" s="20">
        <f>IFERROR(I124/H124,"")</f>
        <v/>
      </c>
      <c r="O124" s="21">
        <f>IFERROR(G124/I124,"")</f>
        <v/>
      </c>
      <c r="P124" s="21">
        <f>IFERROR(G124/H124*1000,"")</f>
        <v/>
      </c>
      <c r="Q124" s="21">
        <f>IFERROR(G124/J124,"")</f>
        <v/>
      </c>
      <c r="R124" s="22">
        <f>IFERROR(K124/G124,"")</f>
        <v/>
      </c>
    </row>
    <row r="125">
      <c r="A125" s="11" t="n"/>
      <c r="G125" s="19" t="n"/>
      <c r="K125" s="19" t="n"/>
      <c r="L125" s="14">
        <f>IFERROR(VLOOKUP(M125,Ads_Mapping!$H$2:$I$499,2,FALSE),"Unmapped")</f>
        <v/>
      </c>
      <c r="M125" s="14">
        <f>IF(B125&lt;&gt;"",B125&amp;"|"&amp;C125&amp;"|"&amp;D125,"")</f>
        <v/>
      </c>
      <c r="N125" s="20">
        <f>IFERROR(I125/H125,"")</f>
        <v/>
      </c>
      <c r="O125" s="21">
        <f>IFERROR(G125/I125,"")</f>
        <v/>
      </c>
      <c r="P125" s="21">
        <f>IFERROR(G125/H125*1000,"")</f>
        <v/>
      </c>
      <c r="Q125" s="21">
        <f>IFERROR(G125/J125,"")</f>
        <v/>
      </c>
      <c r="R125" s="22">
        <f>IFERROR(K125/G125,"")</f>
        <v/>
      </c>
    </row>
    <row r="126">
      <c r="A126" s="11" t="n"/>
      <c r="G126" s="19" t="n"/>
      <c r="K126" s="19" t="n"/>
      <c r="L126" s="14">
        <f>IFERROR(VLOOKUP(M126,Ads_Mapping!$H$2:$I$499,2,FALSE),"Unmapped")</f>
        <v/>
      </c>
      <c r="M126" s="14">
        <f>IF(B126&lt;&gt;"",B126&amp;"|"&amp;C126&amp;"|"&amp;D126,"")</f>
        <v/>
      </c>
      <c r="N126" s="20">
        <f>IFERROR(I126/H126,"")</f>
        <v/>
      </c>
      <c r="O126" s="21">
        <f>IFERROR(G126/I126,"")</f>
        <v/>
      </c>
      <c r="P126" s="21">
        <f>IFERROR(G126/H126*1000,"")</f>
        <v/>
      </c>
      <c r="Q126" s="21">
        <f>IFERROR(G126/J126,"")</f>
        <v/>
      </c>
      <c r="R126" s="22">
        <f>IFERROR(K126/G126,"")</f>
        <v/>
      </c>
    </row>
    <row r="127">
      <c r="A127" s="11" t="n"/>
      <c r="G127" s="19" t="n"/>
      <c r="K127" s="19" t="n"/>
      <c r="L127" s="14">
        <f>IFERROR(VLOOKUP(M127,Ads_Mapping!$H$2:$I$499,2,FALSE),"Unmapped")</f>
        <v/>
      </c>
      <c r="M127" s="14">
        <f>IF(B127&lt;&gt;"",B127&amp;"|"&amp;C127&amp;"|"&amp;D127,"")</f>
        <v/>
      </c>
      <c r="N127" s="20">
        <f>IFERROR(I127/H127,"")</f>
        <v/>
      </c>
      <c r="O127" s="21">
        <f>IFERROR(G127/I127,"")</f>
        <v/>
      </c>
      <c r="P127" s="21">
        <f>IFERROR(G127/H127*1000,"")</f>
        <v/>
      </c>
      <c r="Q127" s="21">
        <f>IFERROR(G127/J127,"")</f>
        <v/>
      </c>
      <c r="R127" s="22">
        <f>IFERROR(K127/G127,"")</f>
        <v/>
      </c>
    </row>
    <row r="128">
      <c r="A128" s="11" t="n"/>
      <c r="G128" s="19" t="n"/>
      <c r="K128" s="19" t="n"/>
      <c r="L128" s="14">
        <f>IFERROR(VLOOKUP(M128,Ads_Mapping!$H$2:$I$499,2,FALSE),"Unmapped")</f>
        <v/>
      </c>
      <c r="M128" s="14">
        <f>IF(B128&lt;&gt;"",B128&amp;"|"&amp;C128&amp;"|"&amp;D128,"")</f>
        <v/>
      </c>
      <c r="N128" s="20">
        <f>IFERROR(I128/H128,"")</f>
        <v/>
      </c>
      <c r="O128" s="21">
        <f>IFERROR(G128/I128,"")</f>
        <v/>
      </c>
      <c r="P128" s="21">
        <f>IFERROR(G128/H128*1000,"")</f>
        <v/>
      </c>
      <c r="Q128" s="21">
        <f>IFERROR(G128/J128,"")</f>
        <v/>
      </c>
      <c r="R128" s="22">
        <f>IFERROR(K128/G128,"")</f>
        <v/>
      </c>
    </row>
    <row r="129">
      <c r="A129" s="11" t="n"/>
      <c r="G129" s="19" t="n"/>
      <c r="K129" s="19" t="n"/>
      <c r="L129" s="14">
        <f>IFERROR(VLOOKUP(M129,Ads_Mapping!$H$2:$I$499,2,FALSE),"Unmapped")</f>
        <v/>
      </c>
      <c r="M129" s="14">
        <f>IF(B129&lt;&gt;"",B129&amp;"|"&amp;C129&amp;"|"&amp;D129,"")</f>
        <v/>
      </c>
      <c r="N129" s="20">
        <f>IFERROR(I129/H129,"")</f>
        <v/>
      </c>
      <c r="O129" s="21">
        <f>IFERROR(G129/I129,"")</f>
        <v/>
      </c>
      <c r="P129" s="21">
        <f>IFERROR(G129/H129*1000,"")</f>
        <v/>
      </c>
      <c r="Q129" s="21">
        <f>IFERROR(G129/J129,"")</f>
        <v/>
      </c>
      <c r="R129" s="22">
        <f>IFERROR(K129/G129,"")</f>
        <v/>
      </c>
    </row>
    <row r="130">
      <c r="A130" s="11" t="n"/>
      <c r="G130" s="19" t="n"/>
      <c r="K130" s="19" t="n"/>
      <c r="L130" s="14">
        <f>IFERROR(VLOOKUP(M130,Ads_Mapping!$H$2:$I$499,2,FALSE),"Unmapped")</f>
        <v/>
      </c>
      <c r="M130" s="14">
        <f>IF(B130&lt;&gt;"",B130&amp;"|"&amp;C130&amp;"|"&amp;D130,"")</f>
        <v/>
      </c>
      <c r="N130" s="20">
        <f>IFERROR(I130/H130,"")</f>
        <v/>
      </c>
      <c r="O130" s="21">
        <f>IFERROR(G130/I130,"")</f>
        <v/>
      </c>
      <c r="P130" s="21">
        <f>IFERROR(G130/H130*1000,"")</f>
        <v/>
      </c>
      <c r="Q130" s="21">
        <f>IFERROR(G130/J130,"")</f>
        <v/>
      </c>
      <c r="R130" s="22">
        <f>IFERROR(K130/G130,"")</f>
        <v/>
      </c>
    </row>
    <row r="131">
      <c r="A131" s="11" t="n"/>
      <c r="G131" s="19" t="n"/>
      <c r="K131" s="19" t="n"/>
      <c r="L131" s="14">
        <f>IFERROR(VLOOKUP(M131,Ads_Mapping!$H$2:$I$499,2,FALSE),"Unmapped")</f>
        <v/>
      </c>
      <c r="M131" s="14">
        <f>IF(B131&lt;&gt;"",B131&amp;"|"&amp;C131&amp;"|"&amp;D131,"")</f>
        <v/>
      </c>
      <c r="N131" s="20">
        <f>IFERROR(I131/H131,"")</f>
        <v/>
      </c>
      <c r="O131" s="21">
        <f>IFERROR(G131/I131,"")</f>
        <v/>
      </c>
      <c r="P131" s="21">
        <f>IFERROR(G131/H131*1000,"")</f>
        <v/>
      </c>
      <c r="Q131" s="21">
        <f>IFERROR(G131/J131,"")</f>
        <v/>
      </c>
      <c r="R131" s="22">
        <f>IFERROR(K131/G131,"")</f>
        <v/>
      </c>
    </row>
    <row r="132">
      <c r="A132" s="11" t="n"/>
      <c r="G132" s="19" t="n"/>
      <c r="K132" s="19" t="n"/>
      <c r="L132" s="14">
        <f>IFERROR(VLOOKUP(M132,Ads_Mapping!$H$2:$I$499,2,FALSE),"Unmapped")</f>
        <v/>
      </c>
      <c r="M132" s="14">
        <f>IF(B132&lt;&gt;"",B132&amp;"|"&amp;C132&amp;"|"&amp;D132,"")</f>
        <v/>
      </c>
      <c r="N132" s="20">
        <f>IFERROR(I132/H132,"")</f>
        <v/>
      </c>
      <c r="O132" s="21">
        <f>IFERROR(G132/I132,"")</f>
        <v/>
      </c>
      <c r="P132" s="21">
        <f>IFERROR(G132/H132*1000,"")</f>
        <v/>
      </c>
      <c r="Q132" s="21">
        <f>IFERROR(G132/J132,"")</f>
        <v/>
      </c>
      <c r="R132" s="22">
        <f>IFERROR(K132/G132,"")</f>
        <v/>
      </c>
    </row>
    <row r="133">
      <c r="A133" s="11" t="n"/>
      <c r="G133" s="19" t="n"/>
      <c r="K133" s="19" t="n"/>
      <c r="L133" s="14">
        <f>IFERROR(VLOOKUP(M133,Ads_Mapping!$H$2:$I$499,2,FALSE),"Unmapped")</f>
        <v/>
      </c>
      <c r="M133" s="14">
        <f>IF(B133&lt;&gt;"",B133&amp;"|"&amp;C133&amp;"|"&amp;D133,"")</f>
        <v/>
      </c>
      <c r="N133" s="20">
        <f>IFERROR(I133/H133,"")</f>
        <v/>
      </c>
      <c r="O133" s="21">
        <f>IFERROR(G133/I133,"")</f>
        <v/>
      </c>
      <c r="P133" s="21">
        <f>IFERROR(G133/H133*1000,"")</f>
        <v/>
      </c>
      <c r="Q133" s="21">
        <f>IFERROR(G133/J133,"")</f>
        <v/>
      </c>
      <c r="R133" s="22">
        <f>IFERROR(K133/G133,"")</f>
        <v/>
      </c>
    </row>
    <row r="134">
      <c r="A134" s="11" t="n"/>
      <c r="G134" s="19" t="n"/>
      <c r="K134" s="19" t="n"/>
      <c r="L134" s="14">
        <f>IFERROR(VLOOKUP(M134,Ads_Mapping!$H$2:$I$499,2,FALSE),"Unmapped")</f>
        <v/>
      </c>
      <c r="M134" s="14">
        <f>IF(B134&lt;&gt;"",B134&amp;"|"&amp;C134&amp;"|"&amp;D134,"")</f>
        <v/>
      </c>
      <c r="N134" s="20">
        <f>IFERROR(I134/H134,"")</f>
        <v/>
      </c>
      <c r="O134" s="21">
        <f>IFERROR(G134/I134,"")</f>
        <v/>
      </c>
      <c r="P134" s="21">
        <f>IFERROR(G134/H134*1000,"")</f>
        <v/>
      </c>
      <c r="Q134" s="21">
        <f>IFERROR(G134/J134,"")</f>
        <v/>
      </c>
      <c r="R134" s="22">
        <f>IFERROR(K134/G134,"")</f>
        <v/>
      </c>
    </row>
    <row r="135">
      <c r="A135" s="11" t="n"/>
      <c r="G135" s="19" t="n"/>
      <c r="K135" s="19" t="n"/>
      <c r="L135" s="14">
        <f>IFERROR(VLOOKUP(M135,Ads_Mapping!$H$2:$I$499,2,FALSE),"Unmapped")</f>
        <v/>
      </c>
      <c r="M135" s="14">
        <f>IF(B135&lt;&gt;"",B135&amp;"|"&amp;C135&amp;"|"&amp;D135,"")</f>
        <v/>
      </c>
      <c r="N135" s="20">
        <f>IFERROR(I135/H135,"")</f>
        <v/>
      </c>
      <c r="O135" s="21">
        <f>IFERROR(G135/I135,"")</f>
        <v/>
      </c>
      <c r="P135" s="21">
        <f>IFERROR(G135/H135*1000,"")</f>
        <v/>
      </c>
      <c r="Q135" s="21">
        <f>IFERROR(G135/J135,"")</f>
        <v/>
      </c>
      <c r="R135" s="22">
        <f>IFERROR(K135/G135,"")</f>
        <v/>
      </c>
    </row>
    <row r="136">
      <c r="A136" s="11" t="n"/>
      <c r="G136" s="19" t="n"/>
      <c r="K136" s="19" t="n"/>
      <c r="L136" s="14">
        <f>IFERROR(VLOOKUP(M136,Ads_Mapping!$H$2:$I$499,2,FALSE),"Unmapped")</f>
        <v/>
      </c>
      <c r="M136" s="14">
        <f>IF(B136&lt;&gt;"",B136&amp;"|"&amp;C136&amp;"|"&amp;D136,"")</f>
        <v/>
      </c>
      <c r="N136" s="20">
        <f>IFERROR(I136/H136,"")</f>
        <v/>
      </c>
      <c r="O136" s="21">
        <f>IFERROR(G136/I136,"")</f>
        <v/>
      </c>
      <c r="P136" s="21">
        <f>IFERROR(G136/H136*1000,"")</f>
        <v/>
      </c>
      <c r="Q136" s="21">
        <f>IFERROR(G136/J136,"")</f>
        <v/>
      </c>
      <c r="R136" s="22">
        <f>IFERROR(K136/G136,"")</f>
        <v/>
      </c>
    </row>
    <row r="137">
      <c r="A137" s="11" t="n"/>
      <c r="G137" s="19" t="n"/>
      <c r="K137" s="19" t="n"/>
      <c r="L137" s="14">
        <f>IFERROR(VLOOKUP(M137,Ads_Mapping!$H$2:$I$499,2,FALSE),"Unmapped")</f>
        <v/>
      </c>
      <c r="M137" s="14">
        <f>IF(B137&lt;&gt;"",B137&amp;"|"&amp;C137&amp;"|"&amp;D137,"")</f>
        <v/>
      </c>
      <c r="N137" s="20">
        <f>IFERROR(I137/H137,"")</f>
        <v/>
      </c>
      <c r="O137" s="21">
        <f>IFERROR(G137/I137,"")</f>
        <v/>
      </c>
      <c r="P137" s="21">
        <f>IFERROR(G137/H137*1000,"")</f>
        <v/>
      </c>
      <c r="Q137" s="21">
        <f>IFERROR(G137/J137,"")</f>
        <v/>
      </c>
      <c r="R137" s="22">
        <f>IFERROR(K137/G137,"")</f>
        <v/>
      </c>
    </row>
    <row r="138">
      <c r="A138" s="11" t="n"/>
      <c r="G138" s="19" t="n"/>
      <c r="K138" s="19" t="n"/>
      <c r="L138" s="14">
        <f>IFERROR(VLOOKUP(M138,Ads_Mapping!$H$2:$I$499,2,FALSE),"Unmapped")</f>
        <v/>
      </c>
      <c r="M138" s="14">
        <f>IF(B138&lt;&gt;"",B138&amp;"|"&amp;C138&amp;"|"&amp;D138,"")</f>
        <v/>
      </c>
      <c r="N138" s="20">
        <f>IFERROR(I138/H138,"")</f>
        <v/>
      </c>
      <c r="O138" s="21">
        <f>IFERROR(G138/I138,"")</f>
        <v/>
      </c>
      <c r="P138" s="21">
        <f>IFERROR(G138/H138*1000,"")</f>
        <v/>
      </c>
      <c r="Q138" s="21">
        <f>IFERROR(G138/J138,"")</f>
        <v/>
      </c>
      <c r="R138" s="22">
        <f>IFERROR(K138/G138,"")</f>
        <v/>
      </c>
    </row>
    <row r="139">
      <c r="A139" s="11" t="n"/>
      <c r="G139" s="19" t="n"/>
      <c r="K139" s="19" t="n"/>
      <c r="L139" s="14">
        <f>IFERROR(VLOOKUP(M139,Ads_Mapping!$H$2:$I$499,2,FALSE),"Unmapped")</f>
        <v/>
      </c>
      <c r="M139" s="14">
        <f>IF(B139&lt;&gt;"",B139&amp;"|"&amp;C139&amp;"|"&amp;D139,"")</f>
        <v/>
      </c>
      <c r="N139" s="20">
        <f>IFERROR(I139/H139,"")</f>
        <v/>
      </c>
      <c r="O139" s="21">
        <f>IFERROR(G139/I139,"")</f>
        <v/>
      </c>
      <c r="P139" s="21">
        <f>IFERROR(G139/H139*1000,"")</f>
        <v/>
      </c>
      <c r="Q139" s="21">
        <f>IFERROR(G139/J139,"")</f>
        <v/>
      </c>
      <c r="R139" s="22">
        <f>IFERROR(K139/G139,"")</f>
        <v/>
      </c>
    </row>
    <row r="140">
      <c r="A140" s="11" t="n"/>
      <c r="G140" s="19" t="n"/>
      <c r="K140" s="19" t="n"/>
      <c r="L140" s="14">
        <f>IFERROR(VLOOKUP(M140,Ads_Mapping!$H$2:$I$499,2,FALSE),"Unmapped")</f>
        <v/>
      </c>
      <c r="M140" s="14">
        <f>IF(B140&lt;&gt;"",B140&amp;"|"&amp;C140&amp;"|"&amp;D140,"")</f>
        <v/>
      </c>
      <c r="N140" s="20">
        <f>IFERROR(I140/H140,"")</f>
        <v/>
      </c>
      <c r="O140" s="21">
        <f>IFERROR(G140/I140,"")</f>
        <v/>
      </c>
      <c r="P140" s="21">
        <f>IFERROR(G140/H140*1000,"")</f>
        <v/>
      </c>
      <c r="Q140" s="21">
        <f>IFERROR(G140/J140,"")</f>
        <v/>
      </c>
      <c r="R140" s="22">
        <f>IFERROR(K140/G140,"")</f>
        <v/>
      </c>
    </row>
    <row r="141">
      <c r="A141" s="11" t="n"/>
      <c r="G141" s="19" t="n"/>
      <c r="K141" s="19" t="n"/>
      <c r="L141" s="14">
        <f>IFERROR(VLOOKUP(M141,Ads_Mapping!$H$2:$I$499,2,FALSE),"Unmapped")</f>
        <v/>
      </c>
      <c r="M141" s="14">
        <f>IF(B141&lt;&gt;"",B141&amp;"|"&amp;C141&amp;"|"&amp;D141,"")</f>
        <v/>
      </c>
      <c r="N141" s="20">
        <f>IFERROR(I141/H141,"")</f>
        <v/>
      </c>
      <c r="O141" s="21">
        <f>IFERROR(G141/I141,"")</f>
        <v/>
      </c>
      <c r="P141" s="21">
        <f>IFERROR(G141/H141*1000,"")</f>
        <v/>
      </c>
      <c r="Q141" s="21">
        <f>IFERROR(G141/J141,"")</f>
        <v/>
      </c>
      <c r="R141" s="22">
        <f>IFERROR(K141/G141,"")</f>
        <v/>
      </c>
    </row>
    <row r="142">
      <c r="A142" s="11" t="n"/>
      <c r="G142" s="19" t="n"/>
      <c r="K142" s="19" t="n"/>
      <c r="L142" s="14">
        <f>IFERROR(VLOOKUP(M142,Ads_Mapping!$H$2:$I$499,2,FALSE),"Unmapped")</f>
        <v/>
      </c>
      <c r="M142" s="14">
        <f>IF(B142&lt;&gt;"",B142&amp;"|"&amp;C142&amp;"|"&amp;D142,"")</f>
        <v/>
      </c>
      <c r="N142" s="20">
        <f>IFERROR(I142/H142,"")</f>
        <v/>
      </c>
      <c r="O142" s="21">
        <f>IFERROR(G142/I142,"")</f>
        <v/>
      </c>
      <c r="P142" s="21">
        <f>IFERROR(G142/H142*1000,"")</f>
        <v/>
      </c>
      <c r="Q142" s="21">
        <f>IFERROR(G142/J142,"")</f>
        <v/>
      </c>
      <c r="R142" s="22">
        <f>IFERROR(K142/G142,"")</f>
        <v/>
      </c>
    </row>
    <row r="143">
      <c r="A143" s="11" t="n"/>
      <c r="G143" s="19" t="n"/>
      <c r="K143" s="19" t="n"/>
      <c r="L143" s="14">
        <f>IFERROR(VLOOKUP(M143,Ads_Mapping!$H$2:$I$499,2,FALSE),"Unmapped")</f>
        <v/>
      </c>
      <c r="M143" s="14">
        <f>IF(B143&lt;&gt;"",B143&amp;"|"&amp;C143&amp;"|"&amp;D143,"")</f>
        <v/>
      </c>
      <c r="N143" s="20">
        <f>IFERROR(I143/H143,"")</f>
        <v/>
      </c>
      <c r="O143" s="21">
        <f>IFERROR(G143/I143,"")</f>
        <v/>
      </c>
      <c r="P143" s="21">
        <f>IFERROR(G143/H143*1000,"")</f>
        <v/>
      </c>
      <c r="Q143" s="21">
        <f>IFERROR(G143/J143,"")</f>
        <v/>
      </c>
      <c r="R143" s="22">
        <f>IFERROR(K143/G143,"")</f>
        <v/>
      </c>
    </row>
    <row r="144">
      <c r="A144" s="11" t="n"/>
      <c r="G144" s="19" t="n"/>
      <c r="K144" s="19" t="n"/>
      <c r="L144" s="14">
        <f>IFERROR(VLOOKUP(M144,Ads_Mapping!$H$2:$I$499,2,FALSE),"Unmapped")</f>
        <v/>
      </c>
      <c r="M144" s="14">
        <f>IF(B144&lt;&gt;"",B144&amp;"|"&amp;C144&amp;"|"&amp;D144,"")</f>
        <v/>
      </c>
      <c r="N144" s="20">
        <f>IFERROR(I144/H144,"")</f>
        <v/>
      </c>
      <c r="O144" s="21">
        <f>IFERROR(G144/I144,"")</f>
        <v/>
      </c>
      <c r="P144" s="21">
        <f>IFERROR(G144/H144*1000,"")</f>
        <v/>
      </c>
      <c r="Q144" s="21">
        <f>IFERROR(G144/J144,"")</f>
        <v/>
      </c>
      <c r="R144" s="22">
        <f>IFERROR(K144/G144,"")</f>
        <v/>
      </c>
    </row>
    <row r="145">
      <c r="A145" s="11" t="n"/>
      <c r="G145" s="19" t="n"/>
      <c r="K145" s="19" t="n"/>
      <c r="L145" s="14">
        <f>IFERROR(VLOOKUP(M145,Ads_Mapping!$H$2:$I$499,2,FALSE),"Unmapped")</f>
        <v/>
      </c>
      <c r="M145" s="14">
        <f>IF(B145&lt;&gt;"",B145&amp;"|"&amp;C145&amp;"|"&amp;D145,"")</f>
        <v/>
      </c>
      <c r="N145" s="20">
        <f>IFERROR(I145/H145,"")</f>
        <v/>
      </c>
      <c r="O145" s="21">
        <f>IFERROR(G145/I145,"")</f>
        <v/>
      </c>
      <c r="P145" s="21">
        <f>IFERROR(G145/H145*1000,"")</f>
        <v/>
      </c>
      <c r="Q145" s="21">
        <f>IFERROR(G145/J145,"")</f>
        <v/>
      </c>
      <c r="R145" s="22">
        <f>IFERROR(K145/G145,"")</f>
        <v/>
      </c>
    </row>
    <row r="146">
      <c r="A146" s="11" t="n"/>
      <c r="G146" s="19" t="n"/>
      <c r="K146" s="19" t="n"/>
      <c r="L146" s="14">
        <f>IFERROR(VLOOKUP(M146,Ads_Mapping!$H$2:$I$499,2,FALSE),"Unmapped")</f>
        <v/>
      </c>
      <c r="M146" s="14">
        <f>IF(B146&lt;&gt;"",B146&amp;"|"&amp;C146&amp;"|"&amp;D146,"")</f>
        <v/>
      </c>
      <c r="N146" s="20">
        <f>IFERROR(I146/H146,"")</f>
        <v/>
      </c>
      <c r="O146" s="21">
        <f>IFERROR(G146/I146,"")</f>
        <v/>
      </c>
      <c r="P146" s="21">
        <f>IFERROR(G146/H146*1000,"")</f>
        <v/>
      </c>
      <c r="Q146" s="21">
        <f>IFERROR(G146/J146,"")</f>
        <v/>
      </c>
      <c r="R146" s="22">
        <f>IFERROR(K146/G146,"")</f>
        <v/>
      </c>
    </row>
    <row r="147">
      <c r="A147" s="11" t="n"/>
      <c r="G147" s="19" t="n"/>
      <c r="K147" s="19" t="n"/>
      <c r="L147" s="14">
        <f>IFERROR(VLOOKUP(M147,Ads_Mapping!$H$2:$I$499,2,FALSE),"Unmapped")</f>
        <v/>
      </c>
      <c r="M147" s="14">
        <f>IF(B147&lt;&gt;"",B147&amp;"|"&amp;C147&amp;"|"&amp;D147,"")</f>
        <v/>
      </c>
      <c r="N147" s="20">
        <f>IFERROR(I147/H147,"")</f>
        <v/>
      </c>
      <c r="O147" s="21">
        <f>IFERROR(G147/I147,"")</f>
        <v/>
      </c>
      <c r="P147" s="21">
        <f>IFERROR(G147/H147*1000,"")</f>
        <v/>
      </c>
      <c r="Q147" s="21">
        <f>IFERROR(G147/J147,"")</f>
        <v/>
      </c>
      <c r="R147" s="22">
        <f>IFERROR(K147/G147,"")</f>
        <v/>
      </c>
    </row>
    <row r="148">
      <c r="A148" s="11" t="n"/>
      <c r="G148" s="19" t="n"/>
      <c r="K148" s="19" t="n"/>
      <c r="L148" s="14">
        <f>IFERROR(VLOOKUP(M148,Ads_Mapping!$H$2:$I$499,2,FALSE),"Unmapped")</f>
        <v/>
      </c>
      <c r="M148" s="14">
        <f>IF(B148&lt;&gt;"",B148&amp;"|"&amp;C148&amp;"|"&amp;D148,"")</f>
        <v/>
      </c>
      <c r="N148" s="20">
        <f>IFERROR(I148/H148,"")</f>
        <v/>
      </c>
      <c r="O148" s="21">
        <f>IFERROR(G148/I148,"")</f>
        <v/>
      </c>
      <c r="P148" s="21">
        <f>IFERROR(G148/H148*1000,"")</f>
        <v/>
      </c>
      <c r="Q148" s="21">
        <f>IFERROR(G148/J148,"")</f>
        <v/>
      </c>
      <c r="R148" s="22">
        <f>IFERROR(K148/G148,"")</f>
        <v/>
      </c>
    </row>
    <row r="149">
      <c r="A149" s="11" t="n"/>
      <c r="G149" s="19" t="n"/>
      <c r="K149" s="19" t="n"/>
      <c r="L149" s="14">
        <f>IFERROR(VLOOKUP(M149,Ads_Mapping!$H$2:$I$499,2,FALSE),"Unmapped")</f>
        <v/>
      </c>
      <c r="M149" s="14">
        <f>IF(B149&lt;&gt;"",B149&amp;"|"&amp;C149&amp;"|"&amp;D149,"")</f>
        <v/>
      </c>
      <c r="N149" s="20">
        <f>IFERROR(I149/H149,"")</f>
        <v/>
      </c>
      <c r="O149" s="21">
        <f>IFERROR(G149/I149,"")</f>
        <v/>
      </c>
      <c r="P149" s="21">
        <f>IFERROR(G149/H149*1000,"")</f>
        <v/>
      </c>
      <c r="Q149" s="21">
        <f>IFERROR(G149/J149,"")</f>
        <v/>
      </c>
      <c r="R149" s="22">
        <f>IFERROR(K149/G149,"")</f>
        <v/>
      </c>
    </row>
    <row r="150">
      <c r="A150" s="11" t="n"/>
      <c r="G150" s="19" t="n"/>
      <c r="K150" s="19" t="n"/>
      <c r="L150" s="14">
        <f>IFERROR(VLOOKUP(M150,Ads_Mapping!$H$2:$I$499,2,FALSE),"Unmapped")</f>
        <v/>
      </c>
      <c r="M150" s="14">
        <f>IF(B150&lt;&gt;"",B150&amp;"|"&amp;C150&amp;"|"&amp;D150,"")</f>
        <v/>
      </c>
      <c r="N150" s="20">
        <f>IFERROR(I150/H150,"")</f>
        <v/>
      </c>
      <c r="O150" s="21">
        <f>IFERROR(G150/I150,"")</f>
        <v/>
      </c>
      <c r="P150" s="21">
        <f>IFERROR(G150/H150*1000,"")</f>
        <v/>
      </c>
      <c r="Q150" s="21">
        <f>IFERROR(G150/J150,"")</f>
        <v/>
      </c>
      <c r="R150" s="22">
        <f>IFERROR(K150/G150,"")</f>
        <v/>
      </c>
    </row>
    <row r="151">
      <c r="A151" s="11" t="n"/>
      <c r="G151" s="19" t="n"/>
      <c r="K151" s="19" t="n"/>
      <c r="L151" s="14">
        <f>IFERROR(VLOOKUP(M151,Ads_Mapping!$H$2:$I$499,2,FALSE),"Unmapped")</f>
        <v/>
      </c>
      <c r="M151" s="14">
        <f>IF(B151&lt;&gt;"",B151&amp;"|"&amp;C151&amp;"|"&amp;D151,"")</f>
        <v/>
      </c>
      <c r="N151" s="20">
        <f>IFERROR(I151/H151,"")</f>
        <v/>
      </c>
      <c r="O151" s="21">
        <f>IFERROR(G151/I151,"")</f>
        <v/>
      </c>
      <c r="P151" s="21">
        <f>IFERROR(G151/H151*1000,"")</f>
        <v/>
      </c>
      <c r="Q151" s="21">
        <f>IFERROR(G151/J151,"")</f>
        <v/>
      </c>
      <c r="R151" s="22">
        <f>IFERROR(K151/G151,"")</f>
        <v/>
      </c>
    </row>
    <row r="152">
      <c r="A152" s="11" t="n"/>
      <c r="G152" s="19" t="n"/>
      <c r="K152" s="19" t="n"/>
      <c r="L152" s="14">
        <f>IFERROR(VLOOKUP(M152,Ads_Mapping!$H$2:$I$499,2,FALSE),"Unmapped")</f>
        <v/>
      </c>
      <c r="M152" s="14">
        <f>IF(B152&lt;&gt;"",B152&amp;"|"&amp;C152&amp;"|"&amp;D152,"")</f>
        <v/>
      </c>
      <c r="N152" s="20">
        <f>IFERROR(I152/H152,"")</f>
        <v/>
      </c>
      <c r="O152" s="21">
        <f>IFERROR(G152/I152,"")</f>
        <v/>
      </c>
      <c r="P152" s="21">
        <f>IFERROR(G152/H152*1000,"")</f>
        <v/>
      </c>
      <c r="Q152" s="21">
        <f>IFERROR(G152/J152,"")</f>
        <v/>
      </c>
      <c r="R152" s="22">
        <f>IFERROR(K152/G152,"")</f>
        <v/>
      </c>
    </row>
    <row r="153">
      <c r="A153" s="11" t="n"/>
      <c r="G153" s="19" t="n"/>
      <c r="K153" s="19" t="n"/>
      <c r="L153" s="14">
        <f>IFERROR(VLOOKUP(M153,Ads_Mapping!$H$2:$I$499,2,FALSE),"Unmapped")</f>
        <v/>
      </c>
      <c r="M153" s="14">
        <f>IF(B153&lt;&gt;"",B153&amp;"|"&amp;C153&amp;"|"&amp;D153,"")</f>
        <v/>
      </c>
      <c r="N153" s="20">
        <f>IFERROR(I153/H153,"")</f>
        <v/>
      </c>
      <c r="O153" s="21">
        <f>IFERROR(G153/I153,"")</f>
        <v/>
      </c>
      <c r="P153" s="21">
        <f>IFERROR(G153/H153*1000,"")</f>
        <v/>
      </c>
      <c r="Q153" s="21">
        <f>IFERROR(G153/J153,"")</f>
        <v/>
      </c>
      <c r="R153" s="22">
        <f>IFERROR(K153/G153,"")</f>
        <v/>
      </c>
    </row>
    <row r="154">
      <c r="A154" s="11" t="n"/>
      <c r="G154" s="19" t="n"/>
      <c r="K154" s="19" t="n"/>
      <c r="L154" s="14">
        <f>IFERROR(VLOOKUP(M154,Ads_Mapping!$H$2:$I$499,2,FALSE),"Unmapped")</f>
        <v/>
      </c>
      <c r="M154" s="14">
        <f>IF(B154&lt;&gt;"",B154&amp;"|"&amp;C154&amp;"|"&amp;D154,"")</f>
        <v/>
      </c>
      <c r="N154" s="20">
        <f>IFERROR(I154/H154,"")</f>
        <v/>
      </c>
      <c r="O154" s="21">
        <f>IFERROR(G154/I154,"")</f>
        <v/>
      </c>
      <c r="P154" s="21">
        <f>IFERROR(G154/H154*1000,"")</f>
        <v/>
      </c>
      <c r="Q154" s="21">
        <f>IFERROR(G154/J154,"")</f>
        <v/>
      </c>
      <c r="R154" s="22">
        <f>IFERROR(K154/G154,"")</f>
        <v/>
      </c>
    </row>
    <row r="155">
      <c r="A155" s="11" t="n"/>
      <c r="G155" s="19" t="n"/>
      <c r="K155" s="19" t="n"/>
      <c r="L155" s="14">
        <f>IFERROR(VLOOKUP(M155,Ads_Mapping!$H$2:$I$499,2,FALSE),"Unmapped")</f>
        <v/>
      </c>
      <c r="M155" s="14">
        <f>IF(B155&lt;&gt;"",B155&amp;"|"&amp;C155&amp;"|"&amp;D155,"")</f>
        <v/>
      </c>
      <c r="N155" s="20">
        <f>IFERROR(I155/H155,"")</f>
        <v/>
      </c>
      <c r="O155" s="21">
        <f>IFERROR(G155/I155,"")</f>
        <v/>
      </c>
      <c r="P155" s="21">
        <f>IFERROR(G155/H155*1000,"")</f>
        <v/>
      </c>
      <c r="Q155" s="21">
        <f>IFERROR(G155/J155,"")</f>
        <v/>
      </c>
      <c r="R155" s="22">
        <f>IFERROR(K155/G155,"")</f>
        <v/>
      </c>
    </row>
    <row r="156">
      <c r="A156" s="11" t="n"/>
      <c r="G156" s="19" t="n"/>
      <c r="K156" s="19" t="n"/>
      <c r="L156" s="14">
        <f>IFERROR(VLOOKUP(M156,Ads_Mapping!$H$2:$I$499,2,FALSE),"Unmapped")</f>
        <v/>
      </c>
      <c r="M156" s="14">
        <f>IF(B156&lt;&gt;"",B156&amp;"|"&amp;C156&amp;"|"&amp;D156,"")</f>
        <v/>
      </c>
      <c r="N156" s="20">
        <f>IFERROR(I156/H156,"")</f>
        <v/>
      </c>
      <c r="O156" s="21">
        <f>IFERROR(G156/I156,"")</f>
        <v/>
      </c>
      <c r="P156" s="21">
        <f>IFERROR(G156/H156*1000,"")</f>
        <v/>
      </c>
      <c r="Q156" s="21">
        <f>IFERROR(G156/J156,"")</f>
        <v/>
      </c>
      <c r="R156" s="22">
        <f>IFERROR(K156/G156,"")</f>
        <v/>
      </c>
    </row>
    <row r="157">
      <c r="A157" s="11" t="n"/>
      <c r="G157" s="19" t="n"/>
      <c r="K157" s="19" t="n"/>
      <c r="L157" s="14">
        <f>IFERROR(VLOOKUP(M157,Ads_Mapping!$H$2:$I$499,2,FALSE),"Unmapped")</f>
        <v/>
      </c>
      <c r="M157" s="14">
        <f>IF(B157&lt;&gt;"",B157&amp;"|"&amp;C157&amp;"|"&amp;D157,"")</f>
        <v/>
      </c>
      <c r="N157" s="20">
        <f>IFERROR(I157/H157,"")</f>
        <v/>
      </c>
      <c r="O157" s="21">
        <f>IFERROR(G157/I157,"")</f>
        <v/>
      </c>
      <c r="P157" s="21">
        <f>IFERROR(G157/H157*1000,"")</f>
        <v/>
      </c>
      <c r="Q157" s="21">
        <f>IFERROR(G157/J157,"")</f>
        <v/>
      </c>
      <c r="R157" s="22">
        <f>IFERROR(K157/G157,"")</f>
        <v/>
      </c>
    </row>
    <row r="158">
      <c r="A158" s="11" t="n"/>
      <c r="G158" s="19" t="n"/>
      <c r="K158" s="19" t="n"/>
      <c r="L158" s="14">
        <f>IFERROR(VLOOKUP(M158,Ads_Mapping!$H$2:$I$499,2,FALSE),"Unmapped")</f>
        <v/>
      </c>
      <c r="M158" s="14">
        <f>IF(B158&lt;&gt;"",B158&amp;"|"&amp;C158&amp;"|"&amp;D158,"")</f>
        <v/>
      </c>
      <c r="N158" s="20">
        <f>IFERROR(I158/H158,"")</f>
        <v/>
      </c>
      <c r="O158" s="21">
        <f>IFERROR(G158/I158,"")</f>
        <v/>
      </c>
      <c r="P158" s="21">
        <f>IFERROR(G158/H158*1000,"")</f>
        <v/>
      </c>
      <c r="Q158" s="21">
        <f>IFERROR(G158/J158,"")</f>
        <v/>
      </c>
      <c r="R158" s="22">
        <f>IFERROR(K158/G158,"")</f>
        <v/>
      </c>
    </row>
    <row r="159">
      <c r="A159" s="11" t="n"/>
      <c r="G159" s="19" t="n"/>
      <c r="K159" s="19" t="n"/>
      <c r="L159" s="14">
        <f>IFERROR(VLOOKUP(M159,Ads_Mapping!$H$2:$I$499,2,FALSE),"Unmapped")</f>
        <v/>
      </c>
      <c r="M159" s="14">
        <f>IF(B159&lt;&gt;"",B159&amp;"|"&amp;C159&amp;"|"&amp;D159,"")</f>
        <v/>
      </c>
      <c r="N159" s="20">
        <f>IFERROR(I159/H159,"")</f>
        <v/>
      </c>
      <c r="O159" s="21">
        <f>IFERROR(G159/I159,"")</f>
        <v/>
      </c>
      <c r="P159" s="21">
        <f>IFERROR(G159/H159*1000,"")</f>
        <v/>
      </c>
      <c r="Q159" s="21">
        <f>IFERROR(G159/J159,"")</f>
        <v/>
      </c>
      <c r="R159" s="22">
        <f>IFERROR(K159/G159,"")</f>
        <v/>
      </c>
    </row>
    <row r="160">
      <c r="A160" s="11" t="n"/>
      <c r="G160" s="19" t="n"/>
      <c r="K160" s="19" t="n"/>
      <c r="L160" s="14">
        <f>IFERROR(VLOOKUP(M160,Ads_Mapping!$H$2:$I$499,2,FALSE),"Unmapped")</f>
        <v/>
      </c>
      <c r="M160" s="14">
        <f>IF(B160&lt;&gt;"",B160&amp;"|"&amp;C160&amp;"|"&amp;D160,"")</f>
        <v/>
      </c>
      <c r="N160" s="20">
        <f>IFERROR(I160/H160,"")</f>
        <v/>
      </c>
      <c r="O160" s="21">
        <f>IFERROR(G160/I160,"")</f>
        <v/>
      </c>
      <c r="P160" s="21">
        <f>IFERROR(G160/H160*1000,"")</f>
        <v/>
      </c>
      <c r="Q160" s="21">
        <f>IFERROR(G160/J160,"")</f>
        <v/>
      </c>
      <c r="R160" s="22">
        <f>IFERROR(K160/G160,"")</f>
        <v/>
      </c>
    </row>
    <row r="161">
      <c r="A161" s="11" t="n"/>
      <c r="G161" s="19" t="n"/>
      <c r="K161" s="19" t="n"/>
      <c r="L161" s="14">
        <f>IFERROR(VLOOKUP(M161,Ads_Mapping!$H$2:$I$499,2,FALSE),"Unmapped")</f>
        <v/>
      </c>
      <c r="M161" s="14">
        <f>IF(B161&lt;&gt;"",B161&amp;"|"&amp;C161&amp;"|"&amp;D161,"")</f>
        <v/>
      </c>
      <c r="N161" s="20">
        <f>IFERROR(I161/H161,"")</f>
        <v/>
      </c>
      <c r="O161" s="21">
        <f>IFERROR(G161/I161,"")</f>
        <v/>
      </c>
      <c r="P161" s="21">
        <f>IFERROR(G161/H161*1000,"")</f>
        <v/>
      </c>
      <c r="Q161" s="21">
        <f>IFERROR(G161/J161,"")</f>
        <v/>
      </c>
      <c r="R161" s="22">
        <f>IFERROR(K161/G161,"")</f>
        <v/>
      </c>
    </row>
    <row r="162">
      <c r="A162" s="11" t="n"/>
      <c r="G162" s="19" t="n"/>
      <c r="K162" s="19" t="n"/>
      <c r="L162" s="14">
        <f>IFERROR(VLOOKUP(M162,Ads_Mapping!$H$2:$I$499,2,FALSE),"Unmapped")</f>
        <v/>
      </c>
      <c r="M162" s="14">
        <f>IF(B162&lt;&gt;"",B162&amp;"|"&amp;C162&amp;"|"&amp;D162,"")</f>
        <v/>
      </c>
      <c r="N162" s="20">
        <f>IFERROR(I162/H162,"")</f>
        <v/>
      </c>
      <c r="O162" s="21">
        <f>IFERROR(G162/I162,"")</f>
        <v/>
      </c>
      <c r="P162" s="21">
        <f>IFERROR(G162/H162*1000,"")</f>
        <v/>
      </c>
      <c r="Q162" s="21">
        <f>IFERROR(G162/J162,"")</f>
        <v/>
      </c>
      <c r="R162" s="22">
        <f>IFERROR(K162/G162,"")</f>
        <v/>
      </c>
    </row>
    <row r="163">
      <c r="A163" s="11" t="n"/>
      <c r="G163" s="19" t="n"/>
      <c r="K163" s="19" t="n"/>
      <c r="L163" s="14">
        <f>IFERROR(VLOOKUP(M163,Ads_Mapping!$H$2:$I$499,2,FALSE),"Unmapped")</f>
        <v/>
      </c>
      <c r="M163" s="14">
        <f>IF(B163&lt;&gt;"",B163&amp;"|"&amp;C163&amp;"|"&amp;D163,"")</f>
        <v/>
      </c>
      <c r="N163" s="20">
        <f>IFERROR(I163/H163,"")</f>
        <v/>
      </c>
      <c r="O163" s="21">
        <f>IFERROR(G163/I163,"")</f>
        <v/>
      </c>
      <c r="P163" s="21">
        <f>IFERROR(G163/H163*1000,"")</f>
        <v/>
      </c>
      <c r="Q163" s="21">
        <f>IFERROR(G163/J163,"")</f>
        <v/>
      </c>
      <c r="R163" s="22">
        <f>IFERROR(K163/G163,"")</f>
        <v/>
      </c>
    </row>
    <row r="164">
      <c r="A164" s="11" t="n"/>
      <c r="G164" s="19" t="n"/>
      <c r="K164" s="19" t="n"/>
      <c r="L164" s="14">
        <f>IFERROR(VLOOKUP(M164,Ads_Mapping!$H$2:$I$499,2,FALSE),"Unmapped")</f>
        <v/>
      </c>
      <c r="M164" s="14">
        <f>IF(B164&lt;&gt;"",B164&amp;"|"&amp;C164&amp;"|"&amp;D164,"")</f>
        <v/>
      </c>
      <c r="N164" s="20">
        <f>IFERROR(I164/H164,"")</f>
        <v/>
      </c>
      <c r="O164" s="21">
        <f>IFERROR(G164/I164,"")</f>
        <v/>
      </c>
      <c r="P164" s="21">
        <f>IFERROR(G164/H164*1000,"")</f>
        <v/>
      </c>
      <c r="Q164" s="21">
        <f>IFERROR(G164/J164,"")</f>
        <v/>
      </c>
      <c r="R164" s="22">
        <f>IFERROR(K164/G164,"")</f>
        <v/>
      </c>
    </row>
    <row r="165">
      <c r="A165" s="11" t="n"/>
      <c r="G165" s="19" t="n"/>
      <c r="K165" s="19" t="n"/>
      <c r="L165" s="14">
        <f>IFERROR(VLOOKUP(M165,Ads_Mapping!$H$2:$I$499,2,FALSE),"Unmapped")</f>
        <v/>
      </c>
      <c r="M165" s="14">
        <f>IF(B165&lt;&gt;"",B165&amp;"|"&amp;C165&amp;"|"&amp;D165,"")</f>
        <v/>
      </c>
      <c r="N165" s="20">
        <f>IFERROR(I165/H165,"")</f>
        <v/>
      </c>
      <c r="O165" s="21">
        <f>IFERROR(G165/I165,"")</f>
        <v/>
      </c>
      <c r="P165" s="21">
        <f>IFERROR(G165/H165*1000,"")</f>
        <v/>
      </c>
      <c r="Q165" s="21">
        <f>IFERROR(G165/J165,"")</f>
        <v/>
      </c>
      <c r="R165" s="22">
        <f>IFERROR(K165/G165,"")</f>
        <v/>
      </c>
    </row>
    <row r="166">
      <c r="A166" s="11" t="n"/>
      <c r="G166" s="19" t="n"/>
      <c r="K166" s="19" t="n"/>
      <c r="L166" s="14">
        <f>IFERROR(VLOOKUP(M166,Ads_Mapping!$H$2:$I$499,2,FALSE),"Unmapped")</f>
        <v/>
      </c>
      <c r="M166" s="14">
        <f>IF(B166&lt;&gt;"",B166&amp;"|"&amp;C166&amp;"|"&amp;D166,"")</f>
        <v/>
      </c>
      <c r="N166" s="20">
        <f>IFERROR(I166/H166,"")</f>
        <v/>
      </c>
      <c r="O166" s="21">
        <f>IFERROR(G166/I166,"")</f>
        <v/>
      </c>
      <c r="P166" s="21">
        <f>IFERROR(G166/H166*1000,"")</f>
        <v/>
      </c>
      <c r="Q166" s="21">
        <f>IFERROR(G166/J166,"")</f>
        <v/>
      </c>
      <c r="R166" s="22">
        <f>IFERROR(K166/G166,"")</f>
        <v/>
      </c>
    </row>
    <row r="167">
      <c r="A167" s="11" t="n"/>
      <c r="G167" s="19" t="n"/>
      <c r="K167" s="19" t="n"/>
      <c r="L167" s="14">
        <f>IFERROR(VLOOKUP(M167,Ads_Mapping!$H$2:$I$499,2,FALSE),"Unmapped")</f>
        <v/>
      </c>
      <c r="M167" s="14">
        <f>IF(B167&lt;&gt;"",B167&amp;"|"&amp;C167&amp;"|"&amp;D167,"")</f>
        <v/>
      </c>
      <c r="N167" s="20">
        <f>IFERROR(I167/H167,"")</f>
        <v/>
      </c>
      <c r="O167" s="21">
        <f>IFERROR(G167/I167,"")</f>
        <v/>
      </c>
      <c r="P167" s="21">
        <f>IFERROR(G167/H167*1000,"")</f>
        <v/>
      </c>
      <c r="Q167" s="21">
        <f>IFERROR(G167/J167,"")</f>
        <v/>
      </c>
      <c r="R167" s="22">
        <f>IFERROR(K167/G167,"")</f>
        <v/>
      </c>
    </row>
    <row r="168">
      <c r="A168" s="11" t="n"/>
      <c r="G168" s="19" t="n"/>
      <c r="K168" s="19" t="n"/>
      <c r="L168" s="14">
        <f>IFERROR(VLOOKUP(M168,Ads_Mapping!$H$2:$I$499,2,FALSE),"Unmapped")</f>
        <v/>
      </c>
      <c r="M168" s="14">
        <f>IF(B168&lt;&gt;"",B168&amp;"|"&amp;C168&amp;"|"&amp;D168,"")</f>
        <v/>
      </c>
      <c r="N168" s="20">
        <f>IFERROR(I168/H168,"")</f>
        <v/>
      </c>
      <c r="O168" s="21">
        <f>IFERROR(G168/I168,"")</f>
        <v/>
      </c>
      <c r="P168" s="21">
        <f>IFERROR(G168/H168*1000,"")</f>
        <v/>
      </c>
      <c r="Q168" s="21">
        <f>IFERROR(G168/J168,"")</f>
        <v/>
      </c>
      <c r="R168" s="22">
        <f>IFERROR(K168/G168,"")</f>
        <v/>
      </c>
    </row>
    <row r="169">
      <c r="A169" s="11" t="n"/>
      <c r="G169" s="19" t="n"/>
      <c r="K169" s="19" t="n"/>
      <c r="L169" s="14">
        <f>IFERROR(VLOOKUP(M169,Ads_Mapping!$H$2:$I$499,2,FALSE),"Unmapped")</f>
        <v/>
      </c>
      <c r="M169" s="14">
        <f>IF(B169&lt;&gt;"",B169&amp;"|"&amp;C169&amp;"|"&amp;D169,"")</f>
        <v/>
      </c>
      <c r="N169" s="20">
        <f>IFERROR(I169/H169,"")</f>
        <v/>
      </c>
      <c r="O169" s="21">
        <f>IFERROR(G169/I169,"")</f>
        <v/>
      </c>
      <c r="P169" s="21">
        <f>IFERROR(G169/H169*1000,"")</f>
        <v/>
      </c>
      <c r="Q169" s="21">
        <f>IFERROR(G169/J169,"")</f>
        <v/>
      </c>
      <c r="R169" s="22">
        <f>IFERROR(K169/G169,"")</f>
        <v/>
      </c>
    </row>
    <row r="170">
      <c r="A170" s="11" t="n"/>
      <c r="G170" s="19" t="n"/>
      <c r="K170" s="19" t="n"/>
      <c r="L170" s="14">
        <f>IFERROR(VLOOKUP(M170,Ads_Mapping!$H$2:$I$499,2,FALSE),"Unmapped")</f>
        <v/>
      </c>
      <c r="M170" s="14">
        <f>IF(B170&lt;&gt;"",B170&amp;"|"&amp;C170&amp;"|"&amp;D170,"")</f>
        <v/>
      </c>
      <c r="N170" s="20">
        <f>IFERROR(I170/H170,"")</f>
        <v/>
      </c>
      <c r="O170" s="21">
        <f>IFERROR(G170/I170,"")</f>
        <v/>
      </c>
      <c r="P170" s="21">
        <f>IFERROR(G170/H170*1000,"")</f>
        <v/>
      </c>
      <c r="Q170" s="21">
        <f>IFERROR(G170/J170,"")</f>
        <v/>
      </c>
      <c r="R170" s="22">
        <f>IFERROR(K170/G170,"")</f>
        <v/>
      </c>
    </row>
    <row r="171">
      <c r="A171" s="11" t="n"/>
      <c r="G171" s="19" t="n"/>
      <c r="K171" s="19" t="n"/>
      <c r="L171" s="14">
        <f>IFERROR(VLOOKUP(M171,Ads_Mapping!$H$2:$I$499,2,FALSE),"Unmapped")</f>
        <v/>
      </c>
      <c r="M171" s="14">
        <f>IF(B171&lt;&gt;"",B171&amp;"|"&amp;C171&amp;"|"&amp;D171,"")</f>
        <v/>
      </c>
      <c r="N171" s="20">
        <f>IFERROR(I171/H171,"")</f>
        <v/>
      </c>
      <c r="O171" s="21">
        <f>IFERROR(G171/I171,"")</f>
        <v/>
      </c>
      <c r="P171" s="21">
        <f>IFERROR(G171/H171*1000,"")</f>
        <v/>
      </c>
      <c r="Q171" s="21">
        <f>IFERROR(G171/J171,"")</f>
        <v/>
      </c>
      <c r="R171" s="22">
        <f>IFERROR(K171/G171,"")</f>
        <v/>
      </c>
    </row>
    <row r="172">
      <c r="A172" s="11" t="n"/>
      <c r="G172" s="19" t="n"/>
      <c r="K172" s="19" t="n"/>
      <c r="L172" s="14">
        <f>IFERROR(VLOOKUP(M172,Ads_Mapping!$H$2:$I$499,2,FALSE),"Unmapped")</f>
        <v/>
      </c>
      <c r="M172" s="14">
        <f>IF(B172&lt;&gt;"",B172&amp;"|"&amp;C172&amp;"|"&amp;D172,"")</f>
        <v/>
      </c>
      <c r="N172" s="20">
        <f>IFERROR(I172/H172,"")</f>
        <v/>
      </c>
      <c r="O172" s="21">
        <f>IFERROR(G172/I172,"")</f>
        <v/>
      </c>
      <c r="P172" s="21">
        <f>IFERROR(G172/H172*1000,"")</f>
        <v/>
      </c>
      <c r="Q172" s="21">
        <f>IFERROR(G172/J172,"")</f>
        <v/>
      </c>
      <c r="R172" s="22">
        <f>IFERROR(K172/G172,"")</f>
        <v/>
      </c>
    </row>
    <row r="173">
      <c r="A173" s="11" t="n"/>
      <c r="G173" s="19" t="n"/>
      <c r="K173" s="19" t="n"/>
      <c r="L173" s="14">
        <f>IFERROR(VLOOKUP(M173,Ads_Mapping!$H$2:$I$499,2,FALSE),"Unmapped")</f>
        <v/>
      </c>
      <c r="M173" s="14">
        <f>IF(B173&lt;&gt;"",B173&amp;"|"&amp;C173&amp;"|"&amp;D173,"")</f>
        <v/>
      </c>
      <c r="N173" s="20">
        <f>IFERROR(I173/H173,"")</f>
        <v/>
      </c>
      <c r="O173" s="21">
        <f>IFERROR(G173/I173,"")</f>
        <v/>
      </c>
      <c r="P173" s="21">
        <f>IFERROR(G173/H173*1000,"")</f>
        <v/>
      </c>
      <c r="Q173" s="21">
        <f>IFERROR(G173/J173,"")</f>
        <v/>
      </c>
      <c r="R173" s="22">
        <f>IFERROR(K173/G173,"")</f>
        <v/>
      </c>
    </row>
    <row r="174">
      <c r="A174" s="11" t="n"/>
      <c r="G174" s="19" t="n"/>
      <c r="K174" s="19" t="n"/>
      <c r="L174" s="14">
        <f>IFERROR(VLOOKUP(M174,Ads_Mapping!$H$2:$I$499,2,FALSE),"Unmapped")</f>
        <v/>
      </c>
      <c r="M174" s="14">
        <f>IF(B174&lt;&gt;"",B174&amp;"|"&amp;C174&amp;"|"&amp;D174,"")</f>
        <v/>
      </c>
      <c r="N174" s="20">
        <f>IFERROR(I174/H174,"")</f>
        <v/>
      </c>
      <c r="O174" s="21">
        <f>IFERROR(G174/I174,"")</f>
        <v/>
      </c>
      <c r="P174" s="21">
        <f>IFERROR(G174/H174*1000,"")</f>
        <v/>
      </c>
      <c r="Q174" s="21">
        <f>IFERROR(G174/J174,"")</f>
        <v/>
      </c>
      <c r="R174" s="22">
        <f>IFERROR(K174/G174,"")</f>
        <v/>
      </c>
    </row>
    <row r="175">
      <c r="A175" s="11" t="n"/>
      <c r="G175" s="19" t="n"/>
      <c r="K175" s="19" t="n"/>
      <c r="L175" s="14">
        <f>IFERROR(VLOOKUP(M175,Ads_Mapping!$H$2:$I$499,2,FALSE),"Unmapped")</f>
        <v/>
      </c>
      <c r="M175" s="14">
        <f>IF(B175&lt;&gt;"",B175&amp;"|"&amp;C175&amp;"|"&amp;D175,"")</f>
        <v/>
      </c>
      <c r="N175" s="20">
        <f>IFERROR(I175/H175,"")</f>
        <v/>
      </c>
      <c r="O175" s="21">
        <f>IFERROR(G175/I175,"")</f>
        <v/>
      </c>
      <c r="P175" s="21">
        <f>IFERROR(G175/H175*1000,"")</f>
        <v/>
      </c>
      <c r="Q175" s="21">
        <f>IFERROR(G175/J175,"")</f>
        <v/>
      </c>
      <c r="R175" s="22">
        <f>IFERROR(K175/G175,"")</f>
        <v/>
      </c>
    </row>
    <row r="176">
      <c r="A176" s="11" t="n"/>
      <c r="G176" s="19" t="n"/>
      <c r="K176" s="19" t="n"/>
      <c r="L176" s="14">
        <f>IFERROR(VLOOKUP(M176,Ads_Mapping!$H$2:$I$499,2,FALSE),"Unmapped")</f>
        <v/>
      </c>
      <c r="M176" s="14">
        <f>IF(B176&lt;&gt;"",B176&amp;"|"&amp;C176&amp;"|"&amp;D176,"")</f>
        <v/>
      </c>
      <c r="N176" s="20">
        <f>IFERROR(I176/H176,"")</f>
        <v/>
      </c>
      <c r="O176" s="21">
        <f>IFERROR(G176/I176,"")</f>
        <v/>
      </c>
      <c r="P176" s="21">
        <f>IFERROR(G176/H176*1000,"")</f>
        <v/>
      </c>
      <c r="Q176" s="21">
        <f>IFERROR(G176/J176,"")</f>
        <v/>
      </c>
      <c r="R176" s="22">
        <f>IFERROR(K176/G176,"")</f>
        <v/>
      </c>
    </row>
    <row r="177">
      <c r="A177" s="11" t="n"/>
      <c r="G177" s="19" t="n"/>
      <c r="K177" s="19" t="n"/>
      <c r="L177" s="14">
        <f>IFERROR(VLOOKUP(M177,Ads_Mapping!$H$2:$I$499,2,FALSE),"Unmapped")</f>
        <v/>
      </c>
      <c r="M177" s="14">
        <f>IF(B177&lt;&gt;"",B177&amp;"|"&amp;C177&amp;"|"&amp;D177,"")</f>
        <v/>
      </c>
      <c r="N177" s="20">
        <f>IFERROR(I177/H177,"")</f>
        <v/>
      </c>
      <c r="O177" s="21">
        <f>IFERROR(G177/I177,"")</f>
        <v/>
      </c>
      <c r="P177" s="21">
        <f>IFERROR(G177/H177*1000,"")</f>
        <v/>
      </c>
      <c r="Q177" s="21">
        <f>IFERROR(G177/J177,"")</f>
        <v/>
      </c>
      <c r="R177" s="22">
        <f>IFERROR(K177/G177,"")</f>
        <v/>
      </c>
    </row>
    <row r="178">
      <c r="A178" s="11" t="n"/>
      <c r="G178" s="19" t="n"/>
      <c r="K178" s="19" t="n"/>
      <c r="L178" s="14">
        <f>IFERROR(VLOOKUP(M178,Ads_Mapping!$H$2:$I$499,2,FALSE),"Unmapped")</f>
        <v/>
      </c>
      <c r="M178" s="14">
        <f>IF(B178&lt;&gt;"",B178&amp;"|"&amp;C178&amp;"|"&amp;D178,"")</f>
        <v/>
      </c>
      <c r="N178" s="20">
        <f>IFERROR(I178/H178,"")</f>
        <v/>
      </c>
      <c r="O178" s="21">
        <f>IFERROR(G178/I178,"")</f>
        <v/>
      </c>
      <c r="P178" s="21">
        <f>IFERROR(G178/H178*1000,"")</f>
        <v/>
      </c>
      <c r="Q178" s="21">
        <f>IFERROR(G178/J178,"")</f>
        <v/>
      </c>
      <c r="R178" s="22">
        <f>IFERROR(K178/G178,"")</f>
        <v/>
      </c>
    </row>
    <row r="179">
      <c r="A179" s="11" t="n"/>
      <c r="G179" s="19" t="n"/>
      <c r="K179" s="19" t="n"/>
      <c r="L179" s="14">
        <f>IFERROR(VLOOKUP(M179,Ads_Mapping!$H$2:$I$499,2,FALSE),"Unmapped")</f>
        <v/>
      </c>
      <c r="M179" s="14">
        <f>IF(B179&lt;&gt;"",B179&amp;"|"&amp;C179&amp;"|"&amp;D179,"")</f>
        <v/>
      </c>
      <c r="N179" s="20">
        <f>IFERROR(I179/H179,"")</f>
        <v/>
      </c>
      <c r="O179" s="21">
        <f>IFERROR(G179/I179,"")</f>
        <v/>
      </c>
      <c r="P179" s="21">
        <f>IFERROR(G179/H179*1000,"")</f>
        <v/>
      </c>
      <c r="Q179" s="21">
        <f>IFERROR(G179/J179,"")</f>
        <v/>
      </c>
      <c r="R179" s="22">
        <f>IFERROR(K179/G179,"")</f>
        <v/>
      </c>
    </row>
    <row r="180">
      <c r="A180" s="11" t="n"/>
      <c r="G180" s="19" t="n"/>
      <c r="K180" s="19" t="n"/>
      <c r="L180" s="14">
        <f>IFERROR(VLOOKUP(M180,Ads_Mapping!$H$2:$I$499,2,FALSE),"Unmapped")</f>
        <v/>
      </c>
      <c r="M180" s="14">
        <f>IF(B180&lt;&gt;"",B180&amp;"|"&amp;C180&amp;"|"&amp;D180,"")</f>
        <v/>
      </c>
      <c r="N180" s="20">
        <f>IFERROR(I180/H180,"")</f>
        <v/>
      </c>
      <c r="O180" s="21">
        <f>IFERROR(G180/I180,"")</f>
        <v/>
      </c>
      <c r="P180" s="21">
        <f>IFERROR(G180/H180*1000,"")</f>
        <v/>
      </c>
      <c r="Q180" s="21">
        <f>IFERROR(G180/J180,"")</f>
        <v/>
      </c>
      <c r="R180" s="22">
        <f>IFERROR(K180/G180,"")</f>
        <v/>
      </c>
    </row>
    <row r="181">
      <c r="A181" s="11" t="n"/>
      <c r="G181" s="19" t="n"/>
      <c r="K181" s="19" t="n"/>
      <c r="L181" s="14">
        <f>IFERROR(VLOOKUP(M181,Ads_Mapping!$H$2:$I$499,2,FALSE),"Unmapped")</f>
        <v/>
      </c>
      <c r="M181" s="14">
        <f>IF(B181&lt;&gt;"",B181&amp;"|"&amp;C181&amp;"|"&amp;D181,"")</f>
        <v/>
      </c>
      <c r="N181" s="20">
        <f>IFERROR(I181/H181,"")</f>
        <v/>
      </c>
      <c r="O181" s="21">
        <f>IFERROR(G181/I181,"")</f>
        <v/>
      </c>
      <c r="P181" s="21">
        <f>IFERROR(G181/H181*1000,"")</f>
        <v/>
      </c>
      <c r="Q181" s="21">
        <f>IFERROR(G181/J181,"")</f>
        <v/>
      </c>
      <c r="R181" s="22">
        <f>IFERROR(K181/G181,"")</f>
        <v/>
      </c>
    </row>
    <row r="182">
      <c r="A182" s="11" t="n"/>
      <c r="G182" s="19" t="n"/>
      <c r="K182" s="19" t="n"/>
      <c r="L182" s="14">
        <f>IFERROR(VLOOKUP(M182,Ads_Mapping!$H$2:$I$499,2,FALSE),"Unmapped")</f>
        <v/>
      </c>
      <c r="M182" s="14">
        <f>IF(B182&lt;&gt;"",B182&amp;"|"&amp;C182&amp;"|"&amp;D182,"")</f>
        <v/>
      </c>
      <c r="N182" s="20">
        <f>IFERROR(I182/H182,"")</f>
        <v/>
      </c>
      <c r="O182" s="21">
        <f>IFERROR(G182/I182,"")</f>
        <v/>
      </c>
      <c r="P182" s="21">
        <f>IFERROR(G182/H182*1000,"")</f>
        <v/>
      </c>
      <c r="Q182" s="21">
        <f>IFERROR(G182/J182,"")</f>
        <v/>
      </c>
      <c r="R182" s="22">
        <f>IFERROR(K182/G182,"")</f>
        <v/>
      </c>
    </row>
    <row r="183">
      <c r="A183" s="11" t="n"/>
      <c r="G183" s="19" t="n"/>
      <c r="K183" s="19" t="n"/>
      <c r="L183" s="14">
        <f>IFERROR(VLOOKUP(M183,Ads_Mapping!$H$2:$I$499,2,FALSE),"Unmapped")</f>
        <v/>
      </c>
      <c r="M183" s="14">
        <f>IF(B183&lt;&gt;"",B183&amp;"|"&amp;C183&amp;"|"&amp;D183,"")</f>
        <v/>
      </c>
      <c r="N183" s="20">
        <f>IFERROR(I183/H183,"")</f>
        <v/>
      </c>
      <c r="O183" s="21">
        <f>IFERROR(G183/I183,"")</f>
        <v/>
      </c>
      <c r="P183" s="21">
        <f>IFERROR(G183/H183*1000,"")</f>
        <v/>
      </c>
      <c r="Q183" s="21">
        <f>IFERROR(G183/J183,"")</f>
        <v/>
      </c>
      <c r="R183" s="22">
        <f>IFERROR(K183/G183,"")</f>
        <v/>
      </c>
    </row>
    <row r="184">
      <c r="A184" s="11" t="n"/>
      <c r="G184" s="19" t="n"/>
      <c r="K184" s="19" t="n"/>
      <c r="L184" s="14">
        <f>IFERROR(VLOOKUP(M184,Ads_Mapping!$H$2:$I$499,2,FALSE),"Unmapped")</f>
        <v/>
      </c>
      <c r="M184" s="14">
        <f>IF(B184&lt;&gt;"",B184&amp;"|"&amp;C184&amp;"|"&amp;D184,"")</f>
        <v/>
      </c>
      <c r="N184" s="20">
        <f>IFERROR(I184/H184,"")</f>
        <v/>
      </c>
      <c r="O184" s="21">
        <f>IFERROR(G184/I184,"")</f>
        <v/>
      </c>
      <c r="P184" s="21">
        <f>IFERROR(G184/H184*1000,"")</f>
        <v/>
      </c>
      <c r="Q184" s="21">
        <f>IFERROR(G184/J184,"")</f>
        <v/>
      </c>
      <c r="R184" s="22">
        <f>IFERROR(K184/G184,"")</f>
        <v/>
      </c>
    </row>
    <row r="185">
      <c r="A185" s="11" t="n"/>
      <c r="G185" s="19" t="n"/>
      <c r="K185" s="19" t="n"/>
      <c r="L185" s="14">
        <f>IFERROR(VLOOKUP(M185,Ads_Mapping!$H$2:$I$499,2,FALSE),"Unmapped")</f>
        <v/>
      </c>
      <c r="M185" s="14">
        <f>IF(B185&lt;&gt;"",B185&amp;"|"&amp;C185&amp;"|"&amp;D185,"")</f>
        <v/>
      </c>
      <c r="N185" s="20">
        <f>IFERROR(I185/H185,"")</f>
        <v/>
      </c>
      <c r="O185" s="21">
        <f>IFERROR(G185/I185,"")</f>
        <v/>
      </c>
      <c r="P185" s="21">
        <f>IFERROR(G185/H185*1000,"")</f>
        <v/>
      </c>
      <c r="Q185" s="21">
        <f>IFERROR(G185/J185,"")</f>
        <v/>
      </c>
      <c r="R185" s="22">
        <f>IFERROR(K185/G185,"")</f>
        <v/>
      </c>
    </row>
    <row r="186">
      <c r="A186" s="11" t="n"/>
      <c r="G186" s="19" t="n"/>
      <c r="K186" s="19" t="n"/>
      <c r="L186" s="14">
        <f>IFERROR(VLOOKUP(M186,Ads_Mapping!$H$2:$I$499,2,FALSE),"Unmapped")</f>
        <v/>
      </c>
      <c r="M186" s="14">
        <f>IF(B186&lt;&gt;"",B186&amp;"|"&amp;C186&amp;"|"&amp;D186,"")</f>
        <v/>
      </c>
      <c r="N186" s="20">
        <f>IFERROR(I186/H186,"")</f>
        <v/>
      </c>
      <c r="O186" s="21">
        <f>IFERROR(G186/I186,"")</f>
        <v/>
      </c>
      <c r="P186" s="21">
        <f>IFERROR(G186/H186*1000,"")</f>
        <v/>
      </c>
      <c r="Q186" s="21">
        <f>IFERROR(G186/J186,"")</f>
        <v/>
      </c>
      <c r="R186" s="22">
        <f>IFERROR(K186/G186,"")</f>
        <v/>
      </c>
    </row>
    <row r="187">
      <c r="A187" s="11" t="n"/>
      <c r="G187" s="19" t="n"/>
      <c r="K187" s="19" t="n"/>
      <c r="L187" s="14">
        <f>IFERROR(VLOOKUP(M187,Ads_Mapping!$H$2:$I$499,2,FALSE),"Unmapped")</f>
        <v/>
      </c>
      <c r="M187" s="14">
        <f>IF(B187&lt;&gt;"",B187&amp;"|"&amp;C187&amp;"|"&amp;D187,"")</f>
        <v/>
      </c>
      <c r="N187" s="20">
        <f>IFERROR(I187/H187,"")</f>
        <v/>
      </c>
      <c r="O187" s="21">
        <f>IFERROR(G187/I187,"")</f>
        <v/>
      </c>
      <c r="P187" s="21">
        <f>IFERROR(G187/H187*1000,"")</f>
        <v/>
      </c>
      <c r="Q187" s="21">
        <f>IFERROR(G187/J187,"")</f>
        <v/>
      </c>
      <c r="R187" s="22">
        <f>IFERROR(K187/G187,"")</f>
        <v/>
      </c>
    </row>
    <row r="188">
      <c r="A188" s="11" t="n"/>
      <c r="G188" s="19" t="n"/>
      <c r="K188" s="19" t="n"/>
      <c r="L188" s="14">
        <f>IFERROR(VLOOKUP(M188,Ads_Mapping!$H$2:$I$499,2,FALSE),"Unmapped")</f>
        <v/>
      </c>
      <c r="M188" s="14">
        <f>IF(B188&lt;&gt;"",B188&amp;"|"&amp;C188&amp;"|"&amp;D188,"")</f>
        <v/>
      </c>
      <c r="N188" s="20">
        <f>IFERROR(I188/H188,"")</f>
        <v/>
      </c>
      <c r="O188" s="21">
        <f>IFERROR(G188/I188,"")</f>
        <v/>
      </c>
      <c r="P188" s="21">
        <f>IFERROR(G188/H188*1000,"")</f>
        <v/>
      </c>
      <c r="Q188" s="21">
        <f>IFERROR(G188/J188,"")</f>
        <v/>
      </c>
      <c r="R188" s="22">
        <f>IFERROR(K188/G188,"")</f>
        <v/>
      </c>
    </row>
    <row r="189">
      <c r="A189" s="11" t="n"/>
      <c r="G189" s="19" t="n"/>
      <c r="K189" s="19" t="n"/>
      <c r="L189" s="14">
        <f>IFERROR(VLOOKUP(M189,Ads_Mapping!$H$2:$I$499,2,FALSE),"Unmapped")</f>
        <v/>
      </c>
      <c r="M189" s="14">
        <f>IF(B189&lt;&gt;"",B189&amp;"|"&amp;C189&amp;"|"&amp;D189,"")</f>
        <v/>
      </c>
      <c r="N189" s="20">
        <f>IFERROR(I189/H189,"")</f>
        <v/>
      </c>
      <c r="O189" s="21">
        <f>IFERROR(G189/I189,"")</f>
        <v/>
      </c>
      <c r="P189" s="21">
        <f>IFERROR(G189/H189*1000,"")</f>
        <v/>
      </c>
      <c r="Q189" s="21">
        <f>IFERROR(G189/J189,"")</f>
        <v/>
      </c>
      <c r="R189" s="22">
        <f>IFERROR(K189/G189,"")</f>
        <v/>
      </c>
    </row>
    <row r="190">
      <c r="A190" s="11" t="n"/>
      <c r="G190" s="19" t="n"/>
      <c r="K190" s="19" t="n"/>
      <c r="L190" s="14">
        <f>IFERROR(VLOOKUP(M190,Ads_Mapping!$H$2:$I$499,2,FALSE),"Unmapped")</f>
        <v/>
      </c>
      <c r="M190" s="14">
        <f>IF(B190&lt;&gt;"",B190&amp;"|"&amp;C190&amp;"|"&amp;D190,"")</f>
        <v/>
      </c>
      <c r="N190" s="20">
        <f>IFERROR(I190/H190,"")</f>
        <v/>
      </c>
      <c r="O190" s="21">
        <f>IFERROR(G190/I190,"")</f>
        <v/>
      </c>
      <c r="P190" s="21">
        <f>IFERROR(G190/H190*1000,"")</f>
        <v/>
      </c>
      <c r="Q190" s="21">
        <f>IFERROR(G190/J190,"")</f>
        <v/>
      </c>
      <c r="R190" s="22">
        <f>IFERROR(K190/G190,"")</f>
        <v/>
      </c>
    </row>
    <row r="191">
      <c r="A191" s="11" t="n"/>
      <c r="G191" s="19" t="n"/>
      <c r="K191" s="19" t="n"/>
      <c r="L191" s="14">
        <f>IFERROR(VLOOKUP(M191,Ads_Mapping!$H$2:$I$499,2,FALSE),"Unmapped")</f>
        <v/>
      </c>
      <c r="M191" s="14">
        <f>IF(B191&lt;&gt;"",B191&amp;"|"&amp;C191&amp;"|"&amp;D191,"")</f>
        <v/>
      </c>
      <c r="N191" s="20">
        <f>IFERROR(I191/H191,"")</f>
        <v/>
      </c>
      <c r="O191" s="21">
        <f>IFERROR(G191/I191,"")</f>
        <v/>
      </c>
      <c r="P191" s="21">
        <f>IFERROR(G191/H191*1000,"")</f>
        <v/>
      </c>
      <c r="Q191" s="21">
        <f>IFERROR(G191/J191,"")</f>
        <v/>
      </c>
      <c r="R191" s="22">
        <f>IFERROR(K191/G191,"")</f>
        <v/>
      </c>
    </row>
    <row r="192">
      <c r="A192" s="11" t="n"/>
      <c r="G192" s="19" t="n"/>
      <c r="K192" s="19" t="n"/>
      <c r="L192" s="14">
        <f>IFERROR(VLOOKUP(M192,Ads_Mapping!$H$2:$I$499,2,FALSE),"Unmapped")</f>
        <v/>
      </c>
      <c r="M192" s="14">
        <f>IF(B192&lt;&gt;"",B192&amp;"|"&amp;C192&amp;"|"&amp;D192,"")</f>
        <v/>
      </c>
      <c r="N192" s="20">
        <f>IFERROR(I192/H192,"")</f>
        <v/>
      </c>
      <c r="O192" s="21">
        <f>IFERROR(G192/I192,"")</f>
        <v/>
      </c>
      <c r="P192" s="21">
        <f>IFERROR(G192/H192*1000,"")</f>
        <v/>
      </c>
      <c r="Q192" s="21">
        <f>IFERROR(G192/J192,"")</f>
        <v/>
      </c>
      <c r="R192" s="22">
        <f>IFERROR(K192/G192,"")</f>
        <v/>
      </c>
    </row>
    <row r="193">
      <c r="A193" s="11" t="n"/>
      <c r="G193" s="19" t="n"/>
      <c r="K193" s="19" t="n"/>
      <c r="L193" s="14">
        <f>IFERROR(VLOOKUP(M193,Ads_Mapping!$H$2:$I$499,2,FALSE),"Unmapped")</f>
        <v/>
      </c>
      <c r="M193" s="14">
        <f>IF(B193&lt;&gt;"",B193&amp;"|"&amp;C193&amp;"|"&amp;D193,"")</f>
        <v/>
      </c>
      <c r="N193" s="20">
        <f>IFERROR(I193/H193,"")</f>
        <v/>
      </c>
      <c r="O193" s="21">
        <f>IFERROR(G193/I193,"")</f>
        <v/>
      </c>
      <c r="P193" s="21">
        <f>IFERROR(G193/H193*1000,"")</f>
        <v/>
      </c>
      <c r="Q193" s="21">
        <f>IFERROR(G193/J193,"")</f>
        <v/>
      </c>
      <c r="R193" s="22">
        <f>IFERROR(K193/G193,"")</f>
        <v/>
      </c>
    </row>
    <row r="194">
      <c r="A194" s="11" t="n"/>
      <c r="G194" s="19" t="n"/>
      <c r="K194" s="19" t="n"/>
      <c r="L194" s="14">
        <f>IFERROR(VLOOKUP(M194,Ads_Mapping!$H$2:$I$499,2,FALSE),"Unmapped")</f>
        <v/>
      </c>
      <c r="M194" s="14">
        <f>IF(B194&lt;&gt;"",B194&amp;"|"&amp;C194&amp;"|"&amp;D194,"")</f>
        <v/>
      </c>
      <c r="N194" s="20">
        <f>IFERROR(I194/H194,"")</f>
        <v/>
      </c>
      <c r="O194" s="21">
        <f>IFERROR(G194/I194,"")</f>
        <v/>
      </c>
      <c r="P194" s="21">
        <f>IFERROR(G194/H194*1000,"")</f>
        <v/>
      </c>
      <c r="Q194" s="21">
        <f>IFERROR(G194/J194,"")</f>
        <v/>
      </c>
      <c r="R194" s="22">
        <f>IFERROR(K194/G194,"")</f>
        <v/>
      </c>
    </row>
    <row r="195">
      <c r="A195" s="11" t="n"/>
      <c r="G195" s="19" t="n"/>
      <c r="K195" s="19" t="n"/>
      <c r="L195" s="14">
        <f>IFERROR(VLOOKUP(M195,Ads_Mapping!$H$2:$I$499,2,FALSE),"Unmapped")</f>
        <v/>
      </c>
      <c r="M195" s="14">
        <f>IF(B195&lt;&gt;"",B195&amp;"|"&amp;C195&amp;"|"&amp;D195,"")</f>
        <v/>
      </c>
      <c r="N195" s="20">
        <f>IFERROR(I195/H195,"")</f>
        <v/>
      </c>
      <c r="O195" s="21">
        <f>IFERROR(G195/I195,"")</f>
        <v/>
      </c>
      <c r="P195" s="21">
        <f>IFERROR(G195/H195*1000,"")</f>
        <v/>
      </c>
      <c r="Q195" s="21">
        <f>IFERROR(G195/J195,"")</f>
        <v/>
      </c>
      <c r="R195" s="22">
        <f>IFERROR(K195/G195,"")</f>
        <v/>
      </c>
    </row>
    <row r="196">
      <c r="A196" s="11" t="n"/>
      <c r="G196" s="19" t="n"/>
      <c r="K196" s="19" t="n"/>
      <c r="L196" s="14">
        <f>IFERROR(VLOOKUP(M196,Ads_Mapping!$H$2:$I$499,2,FALSE),"Unmapped")</f>
        <v/>
      </c>
      <c r="M196" s="14">
        <f>IF(B196&lt;&gt;"",B196&amp;"|"&amp;C196&amp;"|"&amp;D196,"")</f>
        <v/>
      </c>
      <c r="N196" s="20">
        <f>IFERROR(I196/H196,"")</f>
        <v/>
      </c>
      <c r="O196" s="21">
        <f>IFERROR(G196/I196,"")</f>
        <v/>
      </c>
      <c r="P196" s="21">
        <f>IFERROR(G196/H196*1000,"")</f>
        <v/>
      </c>
      <c r="Q196" s="21">
        <f>IFERROR(G196/J196,"")</f>
        <v/>
      </c>
      <c r="R196" s="22">
        <f>IFERROR(K196/G196,"")</f>
        <v/>
      </c>
    </row>
    <row r="197">
      <c r="A197" s="11" t="n"/>
      <c r="G197" s="19" t="n"/>
      <c r="K197" s="19" t="n"/>
      <c r="L197" s="14">
        <f>IFERROR(VLOOKUP(M197,Ads_Mapping!$H$2:$I$499,2,FALSE),"Unmapped")</f>
        <v/>
      </c>
      <c r="M197" s="14">
        <f>IF(B197&lt;&gt;"",B197&amp;"|"&amp;C197&amp;"|"&amp;D197,"")</f>
        <v/>
      </c>
      <c r="N197" s="20">
        <f>IFERROR(I197/H197,"")</f>
        <v/>
      </c>
      <c r="O197" s="21">
        <f>IFERROR(G197/I197,"")</f>
        <v/>
      </c>
      <c r="P197" s="21">
        <f>IFERROR(G197/H197*1000,"")</f>
        <v/>
      </c>
      <c r="Q197" s="21">
        <f>IFERROR(G197/J197,"")</f>
        <v/>
      </c>
      <c r="R197" s="22">
        <f>IFERROR(K197/G197,"")</f>
        <v/>
      </c>
    </row>
    <row r="198">
      <c r="A198" s="11" t="n"/>
      <c r="G198" s="19" t="n"/>
      <c r="K198" s="19" t="n"/>
      <c r="L198" s="14">
        <f>IFERROR(VLOOKUP(M198,Ads_Mapping!$H$2:$I$499,2,FALSE),"Unmapped")</f>
        <v/>
      </c>
      <c r="M198" s="14">
        <f>IF(B198&lt;&gt;"",B198&amp;"|"&amp;C198&amp;"|"&amp;D198,"")</f>
        <v/>
      </c>
      <c r="N198" s="20">
        <f>IFERROR(I198/H198,"")</f>
        <v/>
      </c>
      <c r="O198" s="21">
        <f>IFERROR(G198/I198,"")</f>
        <v/>
      </c>
      <c r="P198" s="21">
        <f>IFERROR(G198/H198*1000,"")</f>
        <v/>
      </c>
      <c r="Q198" s="21">
        <f>IFERROR(G198/J198,"")</f>
        <v/>
      </c>
      <c r="R198" s="22">
        <f>IFERROR(K198/G198,"")</f>
        <v/>
      </c>
    </row>
    <row r="199">
      <c r="A199" s="11" t="n"/>
      <c r="G199" s="19" t="n"/>
      <c r="K199" s="19" t="n"/>
      <c r="L199" s="14">
        <f>IFERROR(VLOOKUP(M199,Ads_Mapping!$H$2:$I$499,2,FALSE),"Unmapped")</f>
        <v/>
      </c>
      <c r="M199" s="14">
        <f>IF(B199&lt;&gt;"",B199&amp;"|"&amp;C199&amp;"|"&amp;D199,"")</f>
        <v/>
      </c>
      <c r="N199" s="20">
        <f>IFERROR(I199/H199,"")</f>
        <v/>
      </c>
      <c r="O199" s="21">
        <f>IFERROR(G199/I199,"")</f>
        <v/>
      </c>
      <c r="P199" s="21">
        <f>IFERROR(G199/H199*1000,"")</f>
        <v/>
      </c>
      <c r="Q199" s="21">
        <f>IFERROR(G199/J199,"")</f>
        <v/>
      </c>
      <c r="R199" s="22">
        <f>IFERROR(K199/G199,"")</f>
        <v/>
      </c>
    </row>
    <row r="200">
      <c r="A200" s="11" t="n"/>
      <c r="G200" s="19" t="n"/>
      <c r="K200" s="19" t="n"/>
      <c r="L200" s="14">
        <f>IFERROR(VLOOKUP(M200,Ads_Mapping!$H$2:$I$499,2,FALSE),"Unmapped")</f>
        <v/>
      </c>
      <c r="M200" s="14">
        <f>IF(B200&lt;&gt;"",B200&amp;"|"&amp;C200&amp;"|"&amp;D200,"")</f>
        <v/>
      </c>
      <c r="N200" s="20">
        <f>IFERROR(I200/H200,"")</f>
        <v/>
      </c>
      <c r="O200" s="21">
        <f>IFERROR(G200/I200,"")</f>
        <v/>
      </c>
      <c r="P200" s="21">
        <f>IFERROR(G200/H200*1000,"")</f>
        <v/>
      </c>
      <c r="Q200" s="21">
        <f>IFERROR(G200/J200,"")</f>
        <v/>
      </c>
      <c r="R200" s="22">
        <f>IFERROR(K200/G200,"")</f>
        <v/>
      </c>
    </row>
    <row r="201">
      <c r="A201" s="11" t="n"/>
      <c r="G201" s="19" t="n"/>
      <c r="K201" s="19" t="n"/>
      <c r="L201" s="14">
        <f>IFERROR(VLOOKUP(M201,Ads_Mapping!$H$2:$I$499,2,FALSE),"Unmapped")</f>
        <v/>
      </c>
      <c r="M201" s="14">
        <f>IF(B201&lt;&gt;"",B201&amp;"|"&amp;C201&amp;"|"&amp;D201,"")</f>
        <v/>
      </c>
      <c r="N201" s="20">
        <f>IFERROR(I201/H201,"")</f>
        <v/>
      </c>
      <c r="O201" s="21">
        <f>IFERROR(G201/I201,"")</f>
        <v/>
      </c>
      <c r="P201" s="21">
        <f>IFERROR(G201/H201*1000,"")</f>
        <v/>
      </c>
      <c r="Q201" s="21">
        <f>IFERROR(G201/J201,"")</f>
        <v/>
      </c>
      <c r="R201" s="22">
        <f>IFERROR(K201/G201,"")</f>
        <v/>
      </c>
    </row>
    <row r="202">
      <c r="A202" s="11" t="n"/>
      <c r="G202" s="19" t="n"/>
      <c r="K202" s="19" t="n"/>
      <c r="L202" s="14">
        <f>IFERROR(VLOOKUP(M202,Ads_Mapping!$H$2:$I$499,2,FALSE),"Unmapped")</f>
        <v/>
      </c>
      <c r="M202" s="14">
        <f>IF(B202&lt;&gt;"",B202&amp;"|"&amp;C202&amp;"|"&amp;D202,"")</f>
        <v/>
      </c>
      <c r="N202" s="20">
        <f>IFERROR(I202/H202,"")</f>
        <v/>
      </c>
      <c r="O202" s="21">
        <f>IFERROR(G202/I202,"")</f>
        <v/>
      </c>
      <c r="P202" s="21">
        <f>IFERROR(G202/H202*1000,"")</f>
        <v/>
      </c>
      <c r="Q202" s="21">
        <f>IFERROR(G202/J202,"")</f>
        <v/>
      </c>
      <c r="R202" s="22">
        <f>IFERROR(K202/G202,"")</f>
        <v/>
      </c>
    </row>
    <row r="203">
      <c r="A203" s="11" t="n"/>
      <c r="G203" s="19" t="n"/>
      <c r="K203" s="19" t="n"/>
      <c r="L203" s="14">
        <f>IFERROR(VLOOKUP(M203,Ads_Mapping!$H$2:$I$499,2,FALSE),"Unmapped")</f>
        <v/>
      </c>
      <c r="M203" s="14">
        <f>IF(B203&lt;&gt;"",B203&amp;"|"&amp;C203&amp;"|"&amp;D203,"")</f>
        <v/>
      </c>
      <c r="N203" s="20">
        <f>IFERROR(I203/H203,"")</f>
        <v/>
      </c>
      <c r="O203" s="21">
        <f>IFERROR(G203/I203,"")</f>
        <v/>
      </c>
      <c r="P203" s="21">
        <f>IFERROR(G203/H203*1000,"")</f>
        <v/>
      </c>
      <c r="Q203" s="21">
        <f>IFERROR(G203/J203,"")</f>
        <v/>
      </c>
      <c r="R203" s="22">
        <f>IFERROR(K203/G203,"")</f>
        <v/>
      </c>
    </row>
    <row r="204">
      <c r="A204" s="11" t="n"/>
      <c r="G204" s="19" t="n"/>
      <c r="K204" s="19" t="n"/>
      <c r="L204" s="14">
        <f>IFERROR(VLOOKUP(M204,Ads_Mapping!$H$2:$I$499,2,FALSE),"Unmapped")</f>
        <v/>
      </c>
      <c r="M204" s="14">
        <f>IF(B204&lt;&gt;"",B204&amp;"|"&amp;C204&amp;"|"&amp;D204,"")</f>
        <v/>
      </c>
      <c r="N204" s="20">
        <f>IFERROR(I204/H204,"")</f>
        <v/>
      </c>
      <c r="O204" s="21">
        <f>IFERROR(G204/I204,"")</f>
        <v/>
      </c>
      <c r="P204" s="21">
        <f>IFERROR(G204/H204*1000,"")</f>
        <v/>
      </c>
      <c r="Q204" s="21">
        <f>IFERROR(G204/J204,"")</f>
        <v/>
      </c>
      <c r="R204" s="22">
        <f>IFERROR(K204/G204,"")</f>
        <v/>
      </c>
    </row>
    <row r="205">
      <c r="A205" s="11" t="n"/>
      <c r="G205" s="19" t="n"/>
      <c r="K205" s="19" t="n"/>
      <c r="L205" s="14">
        <f>IFERROR(VLOOKUP(M205,Ads_Mapping!$H$2:$I$499,2,FALSE),"Unmapped")</f>
        <v/>
      </c>
      <c r="M205" s="14">
        <f>IF(B205&lt;&gt;"",B205&amp;"|"&amp;C205&amp;"|"&amp;D205,"")</f>
        <v/>
      </c>
      <c r="N205" s="20">
        <f>IFERROR(I205/H205,"")</f>
        <v/>
      </c>
      <c r="O205" s="21">
        <f>IFERROR(G205/I205,"")</f>
        <v/>
      </c>
      <c r="P205" s="21">
        <f>IFERROR(G205/H205*1000,"")</f>
        <v/>
      </c>
      <c r="Q205" s="21">
        <f>IFERROR(G205/J205,"")</f>
        <v/>
      </c>
      <c r="R205" s="22">
        <f>IFERROR(K205/G205,"")</f>
        <v/>
      </c>
    </row>
    <row r="206">
      <c r="A206" s="11" t="n"/>
      <c r="G206" s="19" t="n"/>
      <c r="K206" s="19" t="n"/>
      <c r="L206" s="14">
        <f>IFERROR(VLOOKUP(M206,Ads_Mapping!$H$2:$I$499,2,FALSE),"Unmapped")</f>
        <v/>
      </c>
      <c r="M206" s="14">
        <f>IF(B206&lt;&gt;"",B206&amp;"|"&amp;C206&amp;"|"&amp;D206,"")</f>
        <v/>
      </c>
      <c r="N206" s="20">
        <f>IFERROR(I206/H206,"")</f>
        <v/>
      </c>
      <c r="O206" s="21">
        <f>IFERROR(G206/I206,"")</f>
        <v/>
      </c>
      <c r="P206" s="21">
        <f>IFERROR(G206/H206*1000,"")</f>
        <v/>
      </c>
      <c r="Q206" s="21">
        <f>IFERROR(G206/J206,"")</f>
        <v/>
      </c>
      <c r="R206" s="22">
        <f>IFERROR(K206/G206,"")</f>
        <v/>
      </c>
    </row>
    <row r="207">
      <c r="A207" s="11" t="n"/>
      <c r="G207" s="19" t="n"/>
      <c r="K207" s="19" t="n"/>
      <c r="L207" s="14">
        <f>IFERROR(VLOOKUP(M207,Ads_Mapping!$H$2:$I$499,2,FALSE),"Unmapped")</f>
        <v/>
      </c>
      <c r="M207" s="14">
        <f>IF(B207&lt;&gt;"",B207&amp;"|"&amp;C207&amp;"|"&amp;D207,"")</f>
        <v/>
      </c>
      <c r="N207" s="20">
        <f>IFERROR(I207/H207,"")</f>
        <v/>
      </c>
      <c r="O207" s="21">
        <f>IFERROR(G207/I207,"")</f>
        <v/>
      </c>
      <c r="P207" s="21">
        <f>IFERROR(G207/H207*1000,"")</f>
        <v/>
      </c>
      <c r="Q207" s="21">
        <f>IFERROR(G207/J207,"")</f>
        <v/>
      </c>
      <c r="R207" s="22">
        <f>IFERROR(K207/G207,"")</f>
        <v/>
      </c>
    </row>
    <row r="208">
      <c r="A208" s="11" t="n"/>
      <c r="G208" s="19" t="n"/>
      <c r="K208" s="19" t="n"/>
      <c r="L208" s="14">
        <f>IFERROR(VLOOKUP(M208,Ads_Mapping!$H$2:$I$499,2,FALSE),"Unmapped")</f>
        <v/>
      </c>
      <c r="M208" s="14">
        <f>IF(B208&lt;&gt;"",B208&amp;"|"&amp;C208&amp;"|"&amp;D208,"")</f>
        <v/>
      </c>
      <c r="N208" s="20">
        <f>IFERROR(I208/H208,"")</f>
        <v/>
      </c>
      <c r="O208" s="21">
        <f>IFERROR(G208/I208,"")</f>
        <v/>
      </c>
      <c r="P208" s="21">
        <f>IFERROR(G208/H208*1000,"")</f>
        <v/>
      </c>
      <c r="Q208" s="21">
        <f>IFERROR(G208/J208,"")</f>
        <v/>
      </c>
      <c r="R208" s="22">
        <f>IFERROR(K208/G208,"")</f>
        <v/>
      </c>
    </row>
    <row r="209">
      <c r="A209" s="11" t="n"/>
      <c r="G209" s="19" t="n"/>
      <c r="K209" s="19" t="n"/>
      <c r="L209" s="14">
        <f>IFERROR(VLOOKUP(M209,Ads_Mapping!$H$2:$I$499,2,FALSE),"Unmapped")</f>
        <v/>
      </c>
      <c r="M209" s="14">
        <f>IF(B209&lt;&gt;"",B209&amp;"|"&amp;C209&amp;"|"&amp;D209,"")</f>
        <v/>
      </c>
      <c r="N209" s="20">
        <f>IFERROR(I209/H209,"")</f>
        <v/>
      </c>
      <c r="O209" s="21">
        <f>IFERROR(G209/I209,"")</f>
        <v/>
      </c>
      <c r="P209" s="21">
        <f>IFERROR(G209/H209*1000,"")</f>
        <v/>
      </c>
      <c r="Q209" s="21">
        <f>IFERROR(G209/J209,"")</f>
        <v/>
      </c>
      <c r="R209" s="22">
        <f>IFERROR(K209/G209,"")</f>
        <v/>
      </c>
    </row>
    <row r="210">
      <c r="A210" s="11" t="n"/>
      <c r="G210" s="19" t="n"/>
      <c r="K210" s="19" t="n"/>
      <c r="L210" s="14">
        <f>IFERROR(VLOOKUP(M210,Ads_Mapping!$H$2:$I$499,2,FALSE),"Unmapped")</f>
        <v/>
      </c>
      <c r="M210" s="14">
        <f>IF(B210&lt;&gt;"",B210&amp;"|"&amp;C210&amp;"|"&amp;D210,"")</f>
        <v/>
      </c>
      <c r="N210" s="20">
        <f>IFERROR(I210/H210,"")</f>
        <v/>
      </c>
      <c r="O210" s="21">
        <f>IFERROR(G210/I210,"")</f>
        <v/>
      </c>
      <c r="P210" s="21">
        <f>IFERROR(G210/H210*1000,"")</f>
        <v/>
      </c>
      <c r="Q210" s="21">
        <f>IFERROR(G210/J210,"")</f>
        <v/>
      </c>
      <c r="R210" s="22">
        <f>IFERROR(K210/G210,"")</f>
        <v/>
      </c>
    </row>
    <row r="211">
      <c r="A211" s="11" t="n"/>
      <c r="G211" s="19" t="n"/>
      <c r="K211" s="19" t="n"/>
      <c r="L211" s="14">
        <f>IFERROR(VLOOKUP(M211,Ads_Mapping!$H$2:$I$499,2,FALSE),"Unmapped")</f>
        <v/>
      </c>
      <c r="M211" s="14">
        <f>IF(B211&lt;&gt;"",B211&amp;"|"&amp;C211&amp;"|"&amp;D211,"")</f>
        <v/>
      </c>
      <c r="N211" s="20">
        <f>IFERROR(I211/H211,"")</f>
        <v/>
      </c>
      <c r="O211" s="21">
        <f>IFERROR(G211/I211,"")</f>
        <v/>
      </c>
      <c r="P211" s="21">
        <f>IFERROR(G211/H211*1000,"")</f>
        <v/>
      </c>
      <c r="Q211" s="21">
        <f>IFERROR(G211/J211,"")</f>
        <v/>
      </c>
      <c r="R211" s="22">
        <f>IFERROR(K211/G211,"")</f>
        <v/>
      </c>
    </row>
    <row r="212">
      <c r="A212" s="11" t="n"/>
      <c r="G212" s="19" t="n"/>
      <c r="K212" s="19" t="n"/>
      <c r="L212" s="14">
        <f>IFERROR(VLOOKUP(M212,Ads_Mapping!$H$2:$I$499,2,FALSE),"Unmapped")</f>
        <v/>
      </c>
      <c r="M212" s="14">
        <f>IF(B212&lt;&gt;"",B212&amp;"|"&amp;C212&amp;"|"&amp;D212,"")</f>
        <v/>
      </c>
      <c r="N212" s="20">
        <f>IFERROR(I212/H212,"")</f>
        <v/>
      </c>
      <c r="O212" s="21">
        <f>IFERROR(G212/I212,"")</f>
        <v/>
      </c>
      <c r="P212" s="21">
        <f>IFERROR(G212/H212*1000,"")</f>
        <v/>
      </c>
      <c r="Q212" s="21">
        <f>IFERROR(G212/J212,"")</f>
        <v/>
      </c>
      <c r="R212" s="22">
        <f>IFERROR(K212/G212,"")</f>
        <v/>
      </c>
    </row>
    <row r="213">
      <c r="A213" s="11" t="n"/>
      <c r="G213" s="19" t="n"/>
      <c r="K213" s="19" t="n"/>
      <c r="L213" s="14">
        <f>IFERROR(VLOOKUP(M213,Ads_Mapping!$H$2:$I$499,2,FALSE),"Unmapped")</f>
        <v/>
      </c>
      <c r="M213" s="14">
        <f>IF(B213&lt;&gt;"",B213&amp;"|"&amp;C213&amp;"|"&amp;D213,"")</f>
        <v/>
      </c>
      <c r="N213" s="20">
        <f>IFERROR(I213/H213,"")</f>
        <v/>
      </c>
      <c r="O213" s="21">
        <f>IFERROR(G213/I213,"")</f>
        <v/>
      </c>
      <c r="P213" s="21">
        <f>IFERROR(G213/H213*1000,"")</f>
        <v/>
      </c>
      <c r="Q213" s="21">
        <f>IFERROR(G213/J213,"")</f>
        <v/>
      </c>
      <c r="R213" s="22">
        <f>IFERROR(K213/G213,"")</f>
        <v/>
      </c>
    </row>
    <row r="214">
      <c r="A214" s="11" t="n"/>
      <c r="G214" s="19" t="n"/>
      <c r="K214" s="19" t="n"/>
      <c r="L214" s="14">
        <f>IFERROR(VLOOKUP(M214,Ads_Mapping!$H$2:$I$499,2,FALSE),"Unmapped")</f>
        <v/>
      </c>
      <c r="M214" s="14">
        <f>IF(B214&lt;&gt;"",B214&amp;"|"&amp;C214&amp;"|"&amp;D214,"")</f>
        <v/>
      </c>
      <c r="N214" s="20">
        <f>IFERROR(I214/H214,"")</f>
        <v/>
      </c>
      <c r="O214" s="21">
        <f>IFERROR(G214/I214,"")</f>
        <v/>
      </c>
      <c r="P214" s="21">
        <f>IFERROR(G214/H214*1000,"")</f>
        <v/>
      </c>
      <c r="Q214" s="21">
        <f>IFERROR(G214/J214,"")</f>
        <v/>
      </c>
      <c r="R214" s="22">
        <f>IFERROR(K214/G214,"")</f>
        <v/>
      </c>
    </row>
    <row r="215">
      <c r="A215" s="11" t="n"/>
      <c r="G215" s="19" t="n"/>
      <c r="K215" s="19" t="n"/>
      <c r="L215" s="14">
        <f>IFERROR(VLOOKUP(M215,Ads_Mapping!$H$2:$I$499,2,FALSE),"Unmapped")</f>
        <v/>
      </c>
      <c r="M215" s="14">
        <f>IF(B215&lt;&gt;"",B215&amp;"|"&amp;C215&amp;"|"&amp;D215,"")</f>
        <v/>
      </c>
      <c r="N215" s="20">
        <f>IFERROR(I215/H215,"")</f>
        <v/>
      </c>
      <c r="O215" s="21">
        <f>IFERROR(G215/I215,"")</f>
        <v/>
      </c>
      <c r="P215" s="21">
        <f>IFERROR(G215/H215*1000,"")</f>
        <v/>
      </c>
      <c r="Q215" s="21">
        <f>IFERROR(G215/J215,"")</f>
        <v/>
      </c>
      <c r="R215" s="22">
        <f>IFERROR(K215/G215,"")</f>
        <v/>
      </c>
    </row>
    <row r="216">
      <c r="A216" s="11" t="n"/>
      <c r="G216" s="19" t="n"/>
      <c r="K216" s="19" t="n"/>
      <c r="L216" s="14">
        <f>IFERROR(VLOOKUP(M216,Ads_Mapping!$H$2:$I$499,2,FALSE),"Unmapped")</f>
        <v/>
      </c>
      <c r="M216" s="14">
        <f>IF(B216&lt;&gt;"",B216&amp;"|"&amp;C216&amp;"|"&amp;D216,"")</f>
        <v/>
      </c>
      <c r="N216" s="20">
        <f>IFERROR(I216/H216,"")</f>
        <v/>
      </c>
      <c r="O216" s="21">
        <f>IFERROR(G216/I216,"")</f>
        <v/>
      </c>
      <c r="P216" s="21">
        <f>IFERROR(G216/H216*1000,"")</f>
        <v/>
      </c>
      <c r="Q216" s="21">
        <f>IFERROR(G216/J216,"")</f>
        <v/>
      </c>
      <c r="R216" s="22">
        <f>IFERROR(K216/G216,"")</f>
        <v/>
      </c>
    </row>
    <row r="217">
      <c r="A217" s="11" t="n"/>
      <c r="G217" s="19" t="n"/>
      <c r="K217" s="19" t="n"/>
      <c r="L217" s="14">
        <f>IFERROR(VLOOKUP(M217,Ads_Mapping!$H$2:$I$499,2,FALSE),"Unmapped")</f>
        <v/>
      </c>
      <c r="M217" s="14">
        <f>IF(B217&lt;&gt;"",B217&amp;"|"&amp;C217&amp;"|"&amp;D217,"")</f>
        <v/>
      </c>
      <c r="N217" s="20">
        <f>IFERROR(I217/H217,"")</f>
        <v/>
      </c>
      <c r="O217" s="21">
        <f>IFERROR(G217/I217,"")</f>
        <v/>
      </c>
      <c r="P217" s="21">
        <f>IFERROR(G217/H217*1000,"")</f>
        <v/>
      </c>
      <c r="Q217" s="21">
        <f>IFERROR(G217/J217,"")</f>
        <v/>
      </c>
      <c r="R217" s="22">
        <f>IFERROR(K217/G217,"")</f>
        <v/>
      </c>
    </row>
    <row r="218">
      <c r="A218" s="11" t="n"/>
      <c r="G218" s="19" t="n"/>
      <c r="K218" s="19" t="n"/>
      <c r="L218" s="14">
        <f>IFERROR(VLOOKUP(M218,Ads_Mapping!$H$2:$I$499,2,FALSE),"Unmapped")</f>
        <v/>
      </c>
      <c r="M218" s="14">
        <f>IF(B218&lt;&gt;"",B218&amp;"|"&amp;C218&amp;"|"&amp;D218,"")</f>
        <v/>
      </c>
      <c r="N218" s="20">
        <f>IFERROR(I218/H218,"")</f>
        <v/>
      </c>
      <c r="O218" s="21">
        <f>IFERROR(G218/I218,"")</f>
        <v/>
      </c>
      <c r="P218" s="21">
        <f>IFERROR(G218/H218*1000,"")</f>
        <v/>
      </c>
      <c r="Q218" s="21">
        <f>IFERROR(G218/J218,"")</f>
        <v/>
      </c>
      <c r="R218" s="22">
        <f>IFERROR(K218/G218,"")</f>
        <v/>
      </c>
    </row>
    <row r="219">
      <c r="A219" s="11" t="n"/>
      <c r="G219" s="19" t="n"/>
      <c r="K219" s="19" t="n"/>
      <c r="L219" s="14">
        <f>IFERROR(VLOOKUP(M219,Ads_Mapping!$H$2:$I$499,2,FALSE),"Unmapped")</f>
        <v/>
      </c>
      <c r="M219" s="14">
        <f>IF(B219&lt;&gt;"",B219&amp;"|"&amp;C219&amp;"|"&amp;D219,"")</f>
        <v/>
      </c>
      <c r="N219" s="20">
        <f>IFERROR(I219/H219,"")</f>
        <v/>
      </c>
      <c r="O219" s="21">
        <f>IFERROR(G219/I219,"")</f>
        <v/>
      </c>
      <c r="P219" s="21">
        <f>IFERROR(G219/H219*1000,"")</f>
        <v/>
      </c>
      <c r="Q219" s="21">
        <f>IFERROR(G219/J219,"")</f>
        <v/>
      </c>
      <c r="R219" s="22">
        <f>IFERROR(K219/G219,"")</f>
        <v/>
      </c>
    </row>
    <row r="220">
      <c r="A220" s="11" t="n"/>
      <c r="G220" s="19" t="n"/>
      <c r="K220" s="19" t="n"/>
      <c r="L220" s="14">
        <f>IFERROR(VLOOKUP(M220,Ads_Mapping!$H$2:$I$499,2,FALSE),"Unmapped")</f>
        <v/>
      </c>
      <c r="M220" s="14">
        <f>IF(B220&lt;&gt;"",B220&amp;"|"&amp;C220&amp;"|"&amp;D220,"")</f>
        <v/>
      </c>
      <c r="N220" s="20">
        <f>IFERROR(I220/H220,"")</f>
        <v/>
      </c>
      <c r="O220" s="21">
        <f>IFERROR(G220/I220,"")</f>
        <v/>
      </c>
      <c r="P220" s="21">
        <f>IFERROR(G220/H220*1000,"")</f>
        <v/>
      </c>
      <c r="Q220" s="21">
        <f>IFERROR(G220/J220,"")</f>
        <v/>
      </c>
      <c r="R220" s="22">
        <f>IFERROR(K220/G220,"")</f>
        <v/>
      </c>
    </row>
    <row r="221">
      <c r="A221" s="11" t="n"/>
      <c r="G221" s="19" t="n"/>
      <c r="K221" s="19" t="n"/>
      <c r="L221" s="14">
        <f>IFERROR(VLOOKUP(M221,Ads_Mapping!$H$2:$I$499,2,FALSE),"Unmapped")</f>
        <v/>
      </c>
      <c r="M221" s="14">
        <f>IF(B221&lt;&gt;"",B221&amp;"|"&amp;C221&amp;"|"&amp;D221,"")</f>
        <v/>
      </c>
      <c r="N221" s="20">
        <f>IFERROR(I221/H221,"")</f>
        <v/>
      </c>
      <c r="O221" s="21">
        <f>IFERROR(G221/I221,"")</f>
        <v/>
      </c>
      <c r="P221" s="21">
        <f>IFERROR(G221/H221*1000,"")</f>
        <v/>
      </c>
      <c r="Q221" s="21">
        <f>IFERROR(G221/J221,"")</f>
        <v/>
      </c>
      <c r="R221" s="22">
        <f>IFERROR(K221/G221,"")</f>
        <v/>
      </c>
    </row>
    <row r="222">
      <c r="A222" s="11" t="n"/>
      <c r="G222" s="19" t="n"/>
      <c r="K222" s="19" t="n"/>
      <c r="L222" s="14">
        <f>IFERROR(VLOOKUP(M222,Ads_Mapping!$H$2:$I$499,2,FALSE),"Unmapped")</f>
        <v/>
      </c>
      <c r="M222" s="14">
        <f>IF(B222&lt;&gt;"",B222&amp;"|"&amp;C222&amp;"|"&amp;D222,"")</f>
        <v/>
      </c>
      <c r="N222" s="20">
        <f>IFERROR(I222/H222,"")</f>
        <v/>
      </c>
      <c r="O222" s="21">
        <f>IFERROR(G222/I222,"")</f>
        <v/>
      </c>
      <c r="P222" s="21">
        <f>IFERROR(G222/H222*1000,"")</f>
        <v/>
      </c>
      <c r="Q222" s="21">
        <f>IFERROR(G222/J222,"")</f>
        <v/>
      </c>
      <c r="R222" s="22">
        <f>IFERROR(K222/G222,"")</f>
        <v/>
      </c>
    </row>
    <row r="223">
      <c r="A223" s="11" t="n"/>
      <c r="G223" s="19" t="n"/>
      <c r="K223" s="19" t="n"/>
      <c r="L223" s="14">
        <f>IFERROR(VLOOKUP(M223,Ads_Mapping!$H$2:$I$499,2,FALSE),"Unmapped")</f>
        <v/>
      </c>
      <c r="M223" s="14">
        <f>IF(B223&lt;&gt;"",B223&amp;"|"&amp;C223&amp;"|"&amp;D223,"")</f>
        <v/>
      </c>
      <c r="N223" s="20">
        <f>IFERROR(I223/H223,"")</f>
        <v/>
      </c>
      <c r="O223" s="21">
        <f>IFERROR(G223/I223,"")</f>
        <v/>
      </c>
      <c r="P223" s="21">
        <f>IFERROR(G223/H223*1000,"")</f>
        <v/>
      </c>
      <c r="Q223" s="21">
        <f>IFERROR(G223/J223,"")</f>
        <v/>
      </c>
      <c r="R223" s="22">
        <f>IFERROR(K223/G223,"")</f>
        <v/>
      </c>
    </row>
    <row r="224">
      <c r="A224" s="11" t="n"/>
      <c r="G224" s="19" t="n"/>
      <c r="K224" s="19" t="n"/>
      <c r="L224" s="14">
        <f>IFERROR(VLOOKUP(M224,Ads_Mapping!$H$2:$I$499,2,FALSE),"Unmapped")</f>
        <v/>
      </c>
      <c r="M224" s="14">
        <f>IF(B224&lt;&gt;"",B224&amp;"|"&amp;C224&amp;"|"&amp;D224,"")</f>
        <v/>
      </c>
      <c r="N224" s="20">
        <f>IFERROR(I224/H224,"")</f>
        <v/>
      </c>
      <c r="O224" s="21">
        <f>IFERROR(G224/I224,"")</f>
        <v/>
      </c>
      <c r="P224" s="21">
        <f>IFERROR(G224/H224*1000,"")</f>
        <v/>
      </c>
      <c r="Q224" s="21">
        <f>IFERROR(G224/J224,"")</f>
        <v/>
      </c>
      <c r="R224" s="22">
        <f>IFERROR(K224/G224,"")</f>
        <v/>
      </c>
    </row>
    <row r="225">
      <c r="A225" s="11" t="n"/>
      <c r="G225" s="19" t="n"/>
      <c r="K225" s="19" t="n"/>
      <c r="L225" s="14">
        <f>IFERROR(VLOOKUP(M225,Ads_Mapping!$H$2:$I$499,2,FALSE),"Unmapped")</f>
        <v/>
      </c>
      <c r="M225" s="14">
        <f>IF(B225&lt;&gt;"",B225&amp;"|"&amp;C225&amp;"|"&amp;D225,"")</f>
        <v/>
      </c>
      <c r="N225" s="20">
        <f>IFERROR(I225/H225,"")</f>
        <v/>
      </c>
      <c r="O225" s="21">
        <f>IFERROR(G225/I225,"")</f>
        <v/>
      </c>
      <c r="P225" s="21">
        <f>IFERROR(G225/H225*1000,"")</f>
        <v/>
      </c>
      <c r="Q225" s="21">
        <f>IFERROR(G225/J225,"")</f>
        <v/>
      </c>
      <c r="R225" s="22">
        <f>IFERROR(K225/G225,"")</f>
        <v/>
      </c>
    </row>
    <row r="226">
      <c r="A226" s="11" t="n"/>
      <c r="G226" s="19" t="n"/>
      <c r="K226" s="19" t="n"/>
      <c r="L226" s="14">
        <f>IFERROR(VLOOKUP(M226,Ads_Mapping!$H$2:$I$499,2,FALSE),"Unmapped")</f>
        <v/>
      </c>
      <c r="M226" s="14">
        <f>IF(B226&lt;&gt;"",B226&amp;"|"&amp;C226&amp;"|"&amp;D226,"")</f>
        <v/>
      </c>
      <c r="N226" s="20">
        <f>IFERROR(I226/H226,"")</f>
        <v/>
      </c>
      <c r="O226" s="21">
        <f>IFERROR(G226/I226,"")</f>
        <v/>
      </c>
      <c r="P226" s="21">
        <f>IFERROR(G226/H226*1000,"")</f>
        <v/>
      </c>
      <c r="Q226" s="21">
        <f>IFERROR(G226/J226,"")</f>
        <v/>
      </c>
      <c r="R226" s="22">
        <f>IFERROR(K226/G226,"")</f>
        <v/>
      </c>
    </row>
    <row r="227">
      <c r="A227" s="11" t="n"/>
      <c r="G227" s="19" t="n"/>
      <c r="K227" s="19" t="n"/>
      <c r="L227" s="14">
        <f>IFERROR(VLOOKUP(M227,Ads_Mapping!$H$2:$I$499,2,FALSE),"Unmapped")</f>
        <v/>
      </c>
      <c r="M227" s="14">
        <f>IF(B227&lt;&gt;"",B227&amp;"|"&amp;C227&amp;"|"&amp;D227,"")</f>
        <v/>
      </c>
      <c r="N227" s="20">
        <f>IFERROR(I227/H227,"")</f>
        <v/>
      </c>
      <c r="O227" s="21">
        <f>IFERROR(G227/I227,"")</f>
        <v/>
      </c>
      <c r="P227" s="21">
        <f>IFERROR(G227/H227*1000,"")</f>
        <v/>
      </c>
      <c r="Q227" s="21">
        <f>IFERROR(G227/J227,"")</f>
        <v/>
      </c>
      <c r="R227" s="22">
        <f>IFERROR(K227/G227,"")</f>
        <v/>
      </c>
    </row>
    <row r="228">
      <c r="A228" s="11" t="n"/>
      <c r="G228" s="19" t="n"/>
      <c r="K228" s="19" t="n"/>
      <c r="L228" s="14">
        <f>IFERROR(VLOOKUP(M228,Ads_Mapping!$H$2:$I$499,2,FALSE),"Unmapped")</f>
        <v/>
      </c>
      <c r="M228" s="14">
        <f>IF(B228&lt;&gt;"",B228&amp;"|"&amp;C228&amp;"|"&amp;D228,"")</f>
        <v/>
      </c>
      <c r="N228" s="20">
        <f>IFERROR(I228/H228,"")</f>
        <v/>
      </c>
      <c r="O228" s="21">
        <f>IFERROR(G228/I228,"")</f>
        <v/>
      </c>
      <c r="P228" s="21">
        <f>IFERROR(G228/H228*1000,"")</f>
        <v/>
      </c>
      <c r="Q228" s="21">
        <f>IFERROR(G228/J228,"")</f>
        <v/>
      </c>
      <c r="R228" s="22">
        <f>IFERROR(K228/G228,"")</f>
        <v/>
      </c>
    </row>
    <row r="229">
      <c r="A229" s="11" t="n"/>
      <c r="G229" s="19" t="n"/>
      <c r="K229" s="19" t="n"/>
      <c r="L229" s="14">
        <f>IFERROR(VLOOKUP(M229,Ads_Mapping!$H$2:$I$499,2,FALSE),"Unmapped")</f>
        <v/>
      </c>
      <c r="M229" s="14">
        <f>IF(B229&lt;&gt;"",B229&amp;"|"&amp;C229&amp;"|"&amp;D229,"")</f>
        <v/>
      </c>
      <c r="N229" s="20">
        <f>IFERROR(I229/H229,"")</f>
        <v/>
      </c>
      <c r="O229" s="21">
        <f>IFERROR(G229/I229,"")</f>
        <v/>
      </c>
      <c r="P229" s="21">
        <f>IFERROR(G229/H229*1000,"")</f>
        <v/>
      </c>
      <c r="Q229" s="21">
        <f>IFERROR(G229/J229,"")</f>
        <v/>
      </c>
      <c r="R229" s="22">
        <f>IFERROR(K229/G229,"")</f>
        <v/>
      </c>
    </row>
    <row r="230">
      <c r="A230" s="11" t="n"/>
      <c r="G230" s="19" t="n"/>
      <c r="K230" s="19" t="n"/>
      <c r="L230" s="14">
        <f>IFERROR(VLOOKUP(M230,Ads_Mapping!$H$2:$I$499,2,FALSE),"Unmapped")</f>
        <v/>
      </c>
      <c r="M230" s="14">
        <f>IF(B230&lt;&gt;"",B230&amp;"|"&amp;C230&amp;"|"&amp;D230,"")</f>
        <v/>
      </c>
      <c r="N230" s="20">
        <f>IFERROR(I230/H230,"")</f>
        <v/>
      </c>
      <c r="O230" s="21">
        <f>IFERROR(G230/I230,"")</f>
        <v/>
      </c>
      <c r="P230" s="21">
        <f>IFERROR(G230/H230*1000,"")</f>
        <v/>
      </c>
      <c r="Q230" s="21">
        <f>IFERROR(G230/J230,"")</f>
        <v/>
      </c>
      <c r="R230" s="22">
        <f>IFERROR(K230/G230,"")</f>
        <v/>
      </c>
    </row>
    <row r="231">
      <c r="A231" s="11" t="n"/>
      <c r="G231" s="19" t="n"/>
      <c r="K231" s="19" t="n"/>
      <c r="L231" s="14">
        <f>IFERROR(VLOOKUP(M231,Ads_Mapping!$H$2:$I$499,2,FALSE),"Unmapped")</f>
        <v/>
      </c>
      <c r="M231" s="14">
        <f>IF(B231&lt;&gt;"",B231&amp;"|"&amp;C231&amp;"|"&amp;D231,"")</f>
        <v/>
      </c>
      <c r="N231" s="20">
        <f>IFERROR(I231/H231,"")</f>
        <v/>
      </c>
      <c r="O231" s="21">
        <f>IFERROR(G231/I231,"")</f>
        <v/>
      </c>
      <c r="P231" s="21">
        <f>IFERROR(G231/H231*1000,"")</f>
        <v/>
      </c>
      <c r="Q231" s="21">
        <f>IFERROR(G231/J231,"")</f>
        <v/>
      </c>
      <c r="R231" s="22">
        <f>IFERROR(K231/G231,"")</f>
        <v/>
      </c>
    </row>
    <row r="232">
      <c r="A232" s="11" t="n"/>
      <c r="G232" s="19" t="n"/>
      <c r="K232" s="19" t="n"/>
      <c r="L232" s="14">
        <f>IFERROR(VLOOKUP(M232,Ads_Mapping!$H$2:$I$499,2,FALSE),"Unmapped")</f>
        <v/>
      </c>
      <c r="M232" s="14">
        <f>IF(B232&lt;&gt;"",B232&amp;"|"&amp;C232&amp;"|"&amp;D232,"")</f>
        <v/>
      </c>
      <c r="N232" s="20">
        <f>IFERROR(I232/H232,"")</f>
        <v/>
      </c>
      <c r="O232" s="21">
        <f>IFERROR(G232/I232,"")</f>
        <v/>
      </c>
      <c r="P232" s="21">
        <f>IFERROR(G232/H232*1000,"")</f>
        <v/>
      </c>
      <c r="Q232" s="21">
        <f>IFERROR(G232/J232,"")</f>
        <v/>
      </c>
      <c r="R232" s="22">
        <f>IFERROR(K232/G232,"")</f>
        <v/>
      </c>
    </row>
    <row r="233">
      <c r="A233" s="11" t="n"/>
      <c r="G233" s="19" t="n"/>
      <c r="K233" s="19" t="n"/>
      <c r="L233" s="14">
        <f>IFERROR(VLOOKUP(M233,Ads_Mapping!$H$2:$I$499,2,FALSE),"Unmapped")</f>
        <v/>
      </c>
      <c r="M233" s="14">
        <f>IF(B233&lt;&gt;"",B233&amp;"|"&amp;C233&amp;"|"&amp;D233,"")</f>
        <v/>
      </c>
      <c r="N233" s="20">
        <f>IFERROR(I233/H233,"")</f>
        <v/>
      </c>
      <c r="O233" s="21">
        <f>IFERROR(G233/I233,"")</f>
        <v/>
      </c>
      <c r="P233" s="21">
        <f>IFERROR(G233/H233*1000,"")</f>
        <v/>
      </c>
      <c r="Q233" s="21">
        <f>IFERROR(G233/J233,"")</f>
        <v/>
      </c>
      <c r="R233" s="22">
        <f>IFERROR(K233/G233,"")</f>
        <v/>
      </c>
    </row>
    <row r="234">
      <c r="A234" s="11" t="n"/>
      <c r="G234" s="19" t="n"/>
      <c r="K234" s="19" t="n"/>
      <c r="L234" s="14">
        <f>IFERROR(VLOOKUP(M234,Ads_Mapping!$H$2:$I$499,2,FALSE),"Unmapped")</f>
        <v/>
      </c>
      <c r="M234" s="14">
        <f>IF(B234&lt;&gt;"",B234&amp;"|"&amp;C234&amp;"|"&amp;D234,"")</f>
        <v/>
      </c>
      <c r="N234" s="20">
        <f>IFERROR(I234/H234,"")</f>
        <v/>
      </c>
      <c r="O234" s="21">
        <f>IFERROR(G234/I234,"")</f>
        <v/>
      </c>
      <c r="P234" s="21">
        <f>IFERROR(G234/H234*1000,"")</f>
        <v/>
      </c>
      <c r="Q234" s="21">
        <f>IFERROR(G234/J234,"")</f>
        <v/>
      </c>
      <c r="R234" s="22">
        <f>IFERROR(K234/G234,"")</f>
        <v/>
      </c>
    </row>
    <row r="235">
      <c r="A235" s="11" t="n"/>
      <c r="G235" s="19" t="n"/>
      <c r="K235" s="19" t="n"/>
      <c r="L235" s="14">
        <f>IFERROR(VLOOKUP(M235,Ads_Mapping!$H$2:$I$499,2,FALSE),"Unmapped")</f>
        <v/>
      </c>
      <c r="M235" s="14">
        <f>IF(B235&lt;&gt;"",B235&amp;"|"&amp;C235&amp;"|"&amp;D235,"")</f>
        <v/>
      </c>
      <c r="N235" s="20">
        <f>IFERROR(I235/H235,"")</f>
        <v/>
      </c>
      <c r="O235" s="21">
        <f>IFERROR(G235/I235,"")</f>
        <v/>
      </c>
      <c r="P235" s="21">
        <f>IFERROR(G235/H235*1000,"")</f>
        <v/>
      </c>
      <c r="Q235" s="21">
        <f>IFERROR(G235/J235,"")</f>
        <v/>
      </c>
      <c r="R235" s="22">
        <f>IFERROR(K235/G235,"")</f>
        <v/>
      </c>
    </row>
    <row r="236">
      <c r="A236" s="11" t="n"/>
      <c r="G236" s="19" t="n"/>
      <c r="K236" s="19" t="n"/>
      <c r="L236" s="14">
        <f>IFERROR(VLOOKUP(M236,Ads_Mapping!$H$2:$I$499,2,FALSE),"Unmapped")</f>
        <v/>
      </c>
      <c r="M236" s="14">
        <f>IF(B236&lt;&gt;"",B236&amp;"|"&amp;C236&amp;"|"&amp;D236,"")</f>
        <v/>
      </c>
      <c r="N236" s="20">
        <f>IFERROR(I236/H236,"")</f>
        <v/>
      </c>
      <c r="O236" s="21">
        <f>IFERROR(G236/I236,"")</f>
        <v/>
      </c>
      <c r="P236" s="21">
        <f>IFERROR(G236/H236*1000,"")</f>
        <v/>
      </c>
      <c r="Q236" s="21">
        <f>IFERROR(G236/J236,"")</f>
        <v/>
      </c>
      <c r="R236" s="22">
        <f>IFERROR(K236/G236,"")</f>
        <v/>
      </c>
    </row>
    <row r="237">
      <c r="A237" s="11" t="n"/>
      <c r="G237" s="19" t="n"/>
      <c r="K237" s="19" t="n"/>
      <c r="L237" s="14">
        <f>IFERROR(VLOOKUP(M237,Ads_Mapping!$H$2:$I$499,2,FALSE),"Unmapped")</f>
        <v/>
      </c>
      <c r="M237" s="14">
        <f>IF(B237&lt;&gt;"",B237&amp;"|"&amp;C237&amp;"|"&amp;D237,"")</f>
        <v/>
      </c>
      <c r="N237" s="20">
        <f>IFERROR(I237/H237,"")</f>
        <v/>
      </c>
      <c r="O237" s="21">
        <f>IFERROR(G237/I237,"")</f>
        <v/>
      </c>
      <c r="P237" s="21">
        <f>IFERROR(G237/H237*1000,"")</f>
        <v/>
      </c>
      <c r="Q237" s="21">
        <f>IFERROR(G237/J237,"")</f>
        <v/>
      </c>
      <c r="R237" s="22">
        <f>IFERROR(K237/G237,"")</f>
        <v/>
      </c>
    </row>
    <row r="238">
      <c r="A238" s="11" t="n"/>
      <c r="G238" s="19" t="n"/>
      <c r="K238" s="19" t="n"/>
      <c r="L238" s="14">
        <f>IFERROR(VLOOKUP(M238,Ads_Mapping!$H$2:$I$499,2,FALSE),"Unmapped")</f>
        <v/>
      </c>
      <c r="M238" s="14">
        <f>IF(B238&lt;&gt;"",B238&amp;"|"&amp;C238&amp;"|"&amp;D238,"")</f>
        <v/>
      </c>
      <c r="N238" s="20">
        <f>IFERROR(I238/H238,"")</f>
        <v/>
      </c>
      <c r="O238" s="21">
        <f>IFERROR(G238/I238,"")</f>
        <v/>
      </c>
      <c r="P238" s="21">
        <f>IFERROR(G238/H238*1000,"")</f>
        <v/>
      </c>
      <c r="Q238" s="21">
        <f>IFERROR(G238/J238,"")</f>
        <v/>
      </c>
      <c r="R238" s="22">
        <f>IFERROR(K238/G238,"")</f>
        <v/>
      </c>
    </row>
    <row r="239">
      <c r="A239" s="11" t="n"/>
      <c r="G239" s="19" t="n"/>
      <c r="K239" s="19" t="n"/>
      <c r="L239" s="14">
        <f>IFERROR(VLOOKUP(M239,Ads_Mapping!$H$2:$I$499,2,FALSE),"Unmapped")</f>
        <v/>
      </c>
      <c r="M239" s="14">
        <f>IF(B239&lt;&gt;"",B239&amp;"|"&amp;C239&amp;"|"&amp;D239,"")</f>
        <v/>
      </c>
      <c r="N239" s="20">
        <f>IFERROR(I239/H239,"")</f>
        <v/>
      </c>
      <c r="O239" s="21">
        <f>IFERROR(G239/I239,"")</f>
        <v/>
      </c>
      <c r="P239" s="21">
        <f>IFERROR(G239/H239*1000,"")</f>
        <v/>
      </c>
      <c r="Q239" s="21">
        <f>IFERROR(G239/J239,"")</f>
        <v/>
      </c>
      <c r="R239" s="22">
        <f>IFERROR(K239/G239,"")</f>
        <v/>
      </c>
    </row>
    <row r="240">
      <c r="A240" s="11" t="n"/>
      <c r="G240" s="19" t="n"/>
      <c r="K240" s="19" t="n"/>
      <c r="L240" s="14">
        <f>IFERROR(VLOOKUP(M240,Ads_Mapping!$H$2:$I$499,2,FALSE),"Unmapped")</f>
        <v/>
      </c>
      <c r="M240" s="14">
        <f>IF(B240&lt;&gt;"",B240&amp;"|"&amp;C240&amp;"|"&amp;D240,"")</f>
        <v/>
      </c>
      <c r="N240" s="20">
        <f>IFERROR(I240/H240,"")</f>
        <v/>
      </c>
      <c r="O240" s="21">
        <f>IFERROR(G240/I240,"")</f>
        <v/>
      </c>
      <c r="P240" s="21">
        <f>IFERROR(G240/H240*1000,"")</f>
        <v/>
      </c>
      <c r="Q240" s="21">
        <f>IFERROR(G240/J240,"")</f>
        <v/>
      </c>
      <c r="R240" s="22">
        <f>IFERROR(K240/G240,"")</f>
        <v/>
      </c>
    </row>
    <row r="241">
      <c r="A241" s="11" t="n"/>
      <c r="G241" s="19" t="n"/>
      <c r="K241" s="19" t="n"/>
      <c r="L241" s="14">
        <f>IFERROR(VLOOKUP(M241,Ads_Mapping!$H$2:$I$499,2,FALSE),"Unmapped")</f>
        <v/>
      </c>
      <c r="M241" s="14">
        <f>IF(B241&lt;&gt;"",B241&amp;"|"&amp;C241&amp;"|"&amp;D241,"")</f>
        <v/>
      </c>
      <c r="N241" s="20">
        <f>IFERROR(I241/H241,"")</f>
        <v/>
      </c>
      <c r="O241" s="21">
        <f>IFERROR(G241/I241,"")</f>
        <v/>
      </c>
      <c r="P241" s="21">
        <f>IFERROR(G241/H241*1000,"")</f>
        <v/>
      </c>
      <c r="Q241" s="21">
        <f>IFERROR(G241/J241,"")</f>
        <v/>
      </c>
      <c r="R241" s="22">
        <f>IFERROR(K241/G241,"")</f>
        <v/>
      </c>
    </row>
    <row r="242">
      <c r="A242" s="11" t="n"/>
      <c r="G242" s="19" t="n"/>
      <c r="K242" s="19" t="n"/>
      <c r="L242" s="14">
        <f>IFERROR(VLOOKUP(M242,Ads_Mapping!$H$2:$I$499,2,FALSE),"Unmapped")</f>
        <v/>
      </c>
      <c r="M242" s="14">
        <f>IF(B242&lt;&gt;"",B242&amp;"|"&amp;C242&amp;"|"&amp;D242,"")</f>
        <v/>
      </c>
      <c r="N242" s="20">
        <f>IFERROR(I242/H242,"")</f>
        <v/>
      </c>
      <c r="O242" s="21">
        <f>IFERROR(G242/I242,"")</f>
        <v/>
      </c>
      <c r="P242" s="21">
        <f>IFERROR(G242/H242*1000,"")</f>
        <v/>
      </c>
      <c r="Q242" s="21">
        <f>IFERROR(G242/J242,"")</f>
        <v/>
      </c>
      <c r="R242" s="22">
        <f>IFERROR(K242/G242,"")</f>
        <v/>
      </c>
    </row>
    <row r="243">
      <c r="A243" s="11" t="n"/>
      <c r="G243" s="19" t="n"/>
      <c r="K243" s="19" t="n"/>
      <c r="L243" s="14">
        <f>IFERROR(VLOOKUP(M243,Ads_Mapping!$H$2:$I$499,2,FALSE),"Unmapped")</f>
        <v/>
      </c>
      <c r="M243" s="14">
        <f>IF(B243&lt;&gt;"",B243&amp;"|"&amp;C243&amp;"|"&amp;D243,"")</f>
        <v/>
      </c>
      <c r="N243" s="20">
        <f>IFERROR(I243/H243,"")</f>
        <v/>
      </c>
      <c r="O243" s="21">
        <f>IFERROR(G243/I243,"")</f>
        <v/>
      </c>
      <c r="P243" s="21">
        <f>IFERROR(G243/H243*1000,"")</f>
        <v/>
      </c>
      <c r="Q243" s="21">
        <f>IFERROR(G243/J243,"")</f>
        <v/>
      </c>
      <c r="R243" s="22">
        <f>IFERROR(K243/G243,"")</f>
        <v/>
      </c>
    </row>
    <row r="244">
      <c r="A244" s="11" t="n"/>
      <c r="G244" s="19" t="n"/>
      <c r="K244" s="19" t="n"/>
      <c r="L244" s="14">
        <f>IFERROR(VLOOKUP(M244,Ads_Mapping!$H$2:$I$499,2,FALSE),"Unmapped")</f>
        <v/>
      </c>
      <c r="M244" s="14">
        <f>IF(B244&lt;&gt;"",B244&amp;"|"&amp;C244&amp;"|"&amp;D244,"")</f>
        <v/>
      </c>
      <c r="N244" s="20">
        <f>IFERROR(I244/H244,"")</f>
        <v/>
      </c>
      <c r="O244" s="21">
        <f>IFERROR(G244/I244,"")</f>
        <v/>
      </c>
      <c r="P244" s="21">
        <f>IFERROR(G244/H244*1000,"")</f>
        <v/>
      </c>
      <c r="Q244" s="21">
        <f>IFERROR(G244/J244,"")</f>
        <v/>
      </c>
      <c r="R244" s="22">
        <f>IFERROR(K244/G244,"")</f>
        <v/>
      </c>
    </row>
    <row r="245">
      <c r="A245" s="11" t="n"/>
      <c r="G245" s="19" t="n"/>
      <c r="K245" s="19" t="n"/>
      <c r="L245" s="14">
        <f>IFERROR(VLOOKUP(M245,Ads_Mapping!$H$2:$I$499,2,FALSE),"Unmapped")</f>
        <v/>
      </c>
      <c r="M245" s="14">
        <f>IF(B245&lt;&gt;"",B245&amp;"|"&amp;C245&amp;"|"&amp;D245,"")</f>
        <v/>
      </c>
      <c r="N245" s="20">
        <f>IFERROR(I245/H245,"")</f>
        <v/>
      </c>
      <c r="O245" s="21">
        <f>IFERROR(G245/I245,"")</f>
        <v/>
      </c>
      <c r="P245" s="21">
        <f>IFERROR(G245/H245*1000,"")</f>
        <v/>
      </c>
      <c r="Q245" s="21">
        <f>IFERROR(G245/J245,"")</f>
        <v/>
      </c>
      <c r="R245" s="22">
        <f>IFERROR(K245/G245,"")</f>
        <v/>
      </c>
    </row>
    <row r="246">
      <c r="A246" s="11" t="n"/>
      <c r="G246" s="19" t="n"/>
      <c r="K246" s="19" t="n"/>
      <c r="L246" s="14">
        <f>IFERROR(VLOOKUP(M246,Ads_Mapping!$H$2:$I$499,2,FALSE),"Unmapped")</f>
        <v/>
      </c>
      <c r="M246" s="14">
        <f>IF(B246&lt;&gt;"",B246&amp;"|"&amp;C246&amp;"|"&amp;D246,"")</f>
        <v/>
      </c>
      <c r="N246" s="20">
        <f>IFERROR(I246/H246,"")</f>
        <v/>
      </c>
      <c r="O246" s="21">
        <f>IFERROR(G246/I246,"")</f>
        <v/>
      </c>
      <c r="P246" s="21">
        <f>IFERROR(G246/H246*1000,"")</f>
        <v/>
      </c>
      <c r="Q246" s="21">
        <f>IFERROR(G246/J246,"")</f>
        <v/>
      </c>
      <c r="R246" s="22">
        <f>IFERROR(K246/G246,"")</f>
        <v/>
      </c>
    </row>
    <row r="247">
      <c r="A247" s="11" t="n"/>
      <c r="G247" s="19" t="n"/>
      <c r="K247" s="19" t="n"/>
      <c r="L247" s="14">
        <f>IFERROR(VLOOKUP(M247,Ads_Mapping!$H$2:$I$499,2,FALSE),"Unmapped")</f>
        <v/>
      </c>
      <c r="M247" s="14">
        <f>IF(B247&lt;&gt;"",B247&amp;"|"&amp;C247&amp;"|"&amp;D247,"")</f>
        <v/>
      </c>
      <c r="N247" s="20">
        <f>IFERROR(I247/H247,"")</f>
        <v/>
      </c>
      <c r="O247" s="21">
        <f>IFERROR(G247/I247,"")</f>
        <v/>
      </c>
      <c r="P247" s="21">
        <f>IFERROR(G247/H247*1000,"")</f>
        <v/>
      </c>
      <c r="Q247" s="21">
        <f>IFERROR(G247/J247,"")</f>
        <v/>
      </c>
      <c r="R247" s="22">
        <f>IFERROR(K247/G247,"")</f>
        <v/>
      </c>
    </row>
    <row r="248">
      <c r="A248" s="11" t="n"/>
      <c r="G248" s="19" t="n"/>
      <c r="K248" s="19" t="n"/>
      <c r="L248" s="14">
        <f>IFERROR(VLOOKUP(M248,Ads_Mapping!$H$2:$I$499,2,FALSE),"Unmapped")</f>
        <v/>
      </c>
      <c r="M248" s="14">
        <f>IF(B248&lt;&gt;"",B248&amp;"|"&amp;C248&amp;"|"&amp;D248,"")</f>
        <v/>
      </c>
      <c r="N248" s="20">
        <f>IFERROR(I248/H248,"")</f>
        <v/>
      </c>
      <c r="O248" s="21">
        <f>IFERROR(G248/I248,"")</f>
        <v/>
      </c>
      <c r="P248" s="21">
        <f>IFERROR(G248/H248*1000,"")</f>
        <v/>
      </c>
      <c r="Q248" s="21">
        <f>IFERROR(G248/J248,"")</f>
        <v/>
      </c>
      <c r="R248" s="22">
        <f>IFERROR(K248/G248,"")</f>
        <v/>
      </c>
    </row>
    <row r="249">
      <c r="A249" s="11" t="n"/>
      <c r="G249" s="19" t="n"/>
      <c r="K249" s="19" t="n"/>
      <c r="L249" s="14">
        <f>IFERROR(VLOOKUP(M249,Ads_Mapping!$H$2:$I$499,2,FALSE),"Unmapped")</f>
        <v/>
      </c>
      <c r="M249" s="14">
        <f>IF(B249&lt;&gt;"",B249&amp;"|"&amp;C249&amp;"|"&amp;D249,"")</f>
        <v/>
      </c>
      <c r="N249" s="20">
        <f>IFERROR(I249/H249,"")</f>
        <v/>
      </c>
      <c r="O249" s="21">
        <f>IFERROR(G249/I249,"")</f>
        <v/>
      </c>
      <c r="P249" s="21">
        <f>IFERROR(G249/H249*1000,"")</f>
        <v/>
      </c>
      <c r="Q249" s="21">
        <f>IFERROR(G249/J249,"")</f>
        <v/>
      </c>
      <c r="R249" s="22">
        <f>IFERROR(K249/G249,"")</f>
        <v/>
      </c>
    </row>
    <row r="250">
      <c r="A250" s="11" t="n"/>
      <c r="G250" s="19" t="n"/>
      <c r="K250" s="19" t="n"/>
      <c r="L250" s="14">
        <f>IFERROR(VLOOKUP(M250,Ads_Mapping!$H$2:$I$499,2,FALSE),"Unmapped")</f>
        <v/>
      </c>
      <c r="M250" s="14">
        <f>IF(B250&lt;&gt;"",B250&amp;"|"&amp;C250&amp;"|"&amp;D250,"")</f>
        <v/>
      </c>
      <c r="N250" s="20">
        <f>IFERROR(I250/H250,"")</f>
        <v/>
      </c>
      <c r="O250" s="21">
        <f>IFERROR(G250/I250,"")</f>
        <v/>
      </c>
      <c r="P250" s="21">
        <f>IFERROR(G250/H250*1000,"")</f>
        <v/>
      </c>
      <c r="Q250" s="21">
        <f>IFERROR(G250/J250,"")</f>
        <v/>
      </c>
      <c r="R250" s="22">
        <f>IFERROR(K250/G250,"")</f>
        <v/>
      </c>
    </row>
    <row r="251">
      <c r="A251" s="11" t="n"/>
      <c r="G251" s="19" t="n"/>
      <c r="K251" s="19" t="n"/>
      <c r="L251" s="14">
        <f>IFERROR(VLOOKUP(M251,Ads_Mapping!$H$2:$I$499,2,FALSE),"Unmapped")</f>
        <v/>
      </c>
      <c r="M251" s="14">
        <f>IF(B251&lt;&gt;"",B251&amp;"|"&amp;C251&amp;"|"&amp;D251,"")</f>
        <v/>
      </c>
      <c r="N251" s="20">
        <f>IFERROR(I251/H251,"")</f>
        <v/>
      </c>
      <c r="O251" s="21">
        <f>IFERROR(G251/I251,"")</f>
        <v/>
      </c>
      <c r="P251" s="21">
        <f>IFERROR(G251/H251*1000,"")</f>
        <v/>
      </c>
      <c r="Q251" s="21">
        <f>IFERROR(G251/J251,"")</f>
        <v/>
      </c>
      <c r="R251" s="22">
        <f>IFERROR(K251/G251,"")</f>
        <v/>
      </c>
    </row>
    <row r="252">
      <c r="A252" s="11" t="n"/>
      <c r="G252" s="19" t="n"/>
      <c r="K252" s="19" t="n"/>
      <c r="L252" s="14">
        <f>IFERROR(VLOOKUP(M252,Ads_Mapping!$H$2:$I$499,2,FALSE),"Unmapped")</f>
        <v/>
      </c>
      <c r="M252" s="14">
        <f>IF(B252&lt;&gt;"",B252&amp;"|"&amp;C252&amp;"|"&amp;D252,"")</f>
        <v/>
      </c>
      <c r="N252" s="20">
        <f>IFERROR(I252/H252,"")</f>
        <v/>
      </c>
      <c r="O252" s="21">
        <f>IFERROR(G252/I252,"")</f>
        <v/>
      </c>
      <c r="P252" s="21">
        <f>IFERROR(G252/H252*1000,"")</f>
        <v/>
      </c>
      <c r="Q252" s="21">
        <f>IFERROR(G252/J252,"")</f>
        <v/>
      </c>
      <c r="R252" s="22">
        <f>IFERROR(K252/G252,"")</f>
        <v/>
      </c>
    </row>
    <row r="253">
      <c r="A253" s="11" t="n"/>
      <c r="G253" s="19" t="n"/>
      <c r="K253" s="19" t="n"/>
      <c r="L253" s="14">
        <f>IFERROR(VLOOKUP(M253,Ads_Mapping!$H$2:$I$499,2,FALSE),"Unmapped")</f>
        <v/>
      </c>
      <c r="M253" s="14">
        <f>IF(B253&lt;&gt;"",B253&amp;"|"&amp;C253&amp;"|"&amp;D253,"")</f>
        <v/>
      </c>
      <c r="N253" s="20">
        <f>IFERROR(I253/H253,"")</f>
        <v/>
      </c>
      <c r="O253" s="21">
        <f>IFERROR(G253/I253,"")</f>
        <v/>
      </c>
      <c r="P253" s="21">
        <f>IFERROR(G253/H253*1000,"")</f>
        <v/>
      </c>
      <c r="Q253" s="21">
        <f>IFERROR(G253/J253,"")</f>
        <v/>
      </c>
      <c r="R253" s="22">
        <f>IFERROR(K253/G253,"")</f>
        <v/>
      </c>
    </row>
    <row r="254">
      <c r="A254" s="11" t="n"/>
      <c r="G254" s="19" t="n"/>
      <c r="K254" s="19" t="n"/>
      <c r="L254" s="14">
        <f>IFERROR(VLOOKUP(M254,Ads_Mapping!$H$2:$I$499,2,FALSE),"Unmapped")</f>
        <v/>
      </c>
      <c r="M254" s="14">
        <f>IF(B254&lt;&gt;"",B254&amp;"|"&amp;C254&amp;"|"&amp;D254,"")</f>
        <v/>
      </c>
      <c r="N254" s="20">
        <f>IFERROR(I254/H254,"")</f>
        <v/>
      </c>
      <c r="O254" s="21">
        <f>IFERROR(G254/I254,"")</f>
        <v/>
      </c>
      <c r="P254" s="21">
        <f>IFERROR(G254/H254*1000,"")</f>
        <v/>
      </c>
      <c r="Q254" s="21">
        <f>IFERROR(G254/J254,"")</f>
        <v/>
      </c>
      <c r="R254" s="22">
        <f>IFERROR(K254/G254,"")</f>
        <v/>
      </c>
    </row>
    <row r="255">
      <c r="A255" s="11" t="n"/>
      <c r="G255" s="19" t="n"/>
      <c r="K255" s="19" t="n"/>
      <c r="L255" s="14">
        <f>IFERROR(VLOOKUP(M255,Ads_Mapping!$H$2:$I$499,2,FALSE),"Unmapped")</f>
        <v/>
      </c>
      <c r="M255" s="14">
        <f>IF(B255&lt;&gt;"",B255&amp;"|"&amp;C255&amp;"|"&amp;D255,"")</f>
        <v/>
      </c>
      <c r="N255" s="20">
        <f>IFERROR(I255/H255,"")</f>
        <v/>
      </c>
      <c r="O255" s="21">
        <f>IFERROR(G255/I255,"")</f>
        <v/>
      </c>
      <c r="P255" s="21">
        <f>IFERROR(G255/H255*1000,"")</f>
        <v/>
      </c>
      <c r="Q255" s="21">
        <f>IFERROR(G255/J255,"")</f>
        <v/>
      </c>
      <c r="R255" s="22">
        <f>IFERROR(K255/G255,"")</f>
        <v/>
      </c>
    </row>
    <row r="256">
      <c r="A256" s="11" t="n"/>
      <c r="G256" s="19" t="n"/>
      <c r="K256" s="19" t="n"/>
      <c r="L256" s="14">
        <f>IFERROR(VLOOKUP(M256,Ads_Mapping!$H$2:$I$499,2,FALSE),"Unmapped")</f>
        <v/>
      </c>
      <c r="M256" s="14">
        <f>IF(B256&lt;&gt;"",B256&amp;"|"&amp;C256&amp;"|"&amp;D256,"")</f>
        <v/>
      </c>
      <c r="N256" s="20">
        <f>IFERROR(I256/H256,"")</f>
        <v/>
      </c>
      <c r="O256" s="21">
        <f>IFERROR(G256/I256,"")</f>
        <v/>
      </c>
      <c r="P256" s="21">
        <f>IFERROR(G256/H256*1000,"")</f>
        <v/>
      </c>
      <c r="Q256" s="21">
        <f>IFERROR(G256/J256,"")</f>
        <v/>
      </c>
      <c r="R256" s="22">
        <f>IFERROR(K256/G256,"")</f>
        <v/>
      </c>
    </row>
    <row r="257">
      <c r="A257" s="11" t="n"/>
      <c r="G257" s="19" t="n"/>
      <c r="K257" s="19" t="n"/>
      <c r="L257" s="14">
        <f>IFERROR(VLOOKUP(M257,Ads_Mapping!$H$2:$I$499,2,FALSE),"Unmapped")</f>
        <v/>
      </c>
      <c r="M257" s="14">
        <f>IF(B257&lt;&gt;"",B257&amp;"|"&amp;C257&amp;"|"&amp;D257,"")</f>
        <v/>
      </c>
      <c r="N257" s="20">
        <f>IFERROR(I257/H257,"")</f>
        <v/>
      </c>
      <c r="O257" s="21">
        <f>IFERROR(G257/I257,"")</f>
        <v/>
      </c>
      <c r="P257" s="21">
        <f>IFERROR(G257/H257*1000,"")</f>
        <v/>
      </c>
      <c r="Q257" s="21">
        <f>IFERROR(G257/J257,"")</f>
        <v/>
      </c>
      <c r="R257" s="22">
        <f>IFERROR(K257/G257,"")</f>
        <v/>
      </c>
    </row>
    <row r="258">
      <c r="A258" s="11" t="n"/>
      <c r="G258" s="19" t="n"/>
      <c r="K258" s="19" t="n"/>
      <c r="L258" s="14">
        <f>IFERROR(VLOOKUP(M258,Ads_Mapping!$H$2:$I$499,2,FALSE),"Unmapped")</f>
        <v/>
      </c>
      <c r="M258" s="14">
        <f>IF(B258&lt;&gt;"",B258&amp;"|"&amp;C258&amp;"|"&amp;D258,"")</f>
        <v/>
      </c>
      <c r="N258" s="20">
        <f>IFERROR(I258/H258,"")</f>
        <v/>
      </c>
      <c r="O258" s="21">
        <f>IFERROR(G258/I258,"")</f>
        <v/>
      </c>
      <c r="P258" s="21">
        <f>IFERROR(G258/H258*1000,"")</f>
        <v/>
      </c>
      <c r="Q258" s="21">
        <f>IFERROR(G258/J258,"")</f>
        <v/>
      </c>
      <c r="R258" s="22">
        <f>IFERROR(K258/G258,"")</f>
        <v/>
      </c>
    </row>
    <row r="259">
      <c r="A259" s="11" t="n"/>
      <c r="G259" s="19" t="n"/>
      <c r="K259" s="19" t="n"/>
      <c r="L259" s="14">
        <f>IFERROR(VLOOKUP(M259,Ads_Mapping!$H$2:$I$499,2,FALSE),"Unmapped")</f>
        <v/>
      </c>
      <c r="M259" s="14">
        <f>IF(B259&lt;&gt;"",B259&amp;"|"&amp;C259&amp;"|"&amp;D259,"")</f>
        <v/>
      </c>
      <c r="N259" s="20">
        <f>IFERROR(I259/H259,"")</f>
        <v/>
      </c>
      <c r="O259" s="21">
        <f>IFERROR(G259/I259,"")</f>
        <v/>
      </c>
      <c r="P259" s="21">
        <f>IFERROR(G259/H259*1000,"")</f>
        <v/>
      </c>
      <c r="Q259" s="21">
        <f>IFERROR(G259/J259,"")</f>
        <v/>
      </c>
      <c r="R259" s="22">
        <f>IFERROR(K259/G259,"")</f>
        <v/>
      </c>
    </row>
    <row r="260">
      <c r="A260" s="11" t="n"/>
      <c r="G260" s="19" t="n"/>
      <c r="K260" s="19" t="n"/>
      <c r="L260" s="14">
        <f>IFERROR(VLOOKUP(M260,Ads_Mapping!$H$2:$I$499,2,FALSE),"Unmapped")</f>
        <v/>
      </c>
      <c r="M260" s="14">
        <f>IF(B260&lt;&gt;"",B260&amp;"|"&amp;C260&amp;"|"&amp;D260,"")</f>
        <v/>
      </c>
      <c r="N260" s="20">
        <f>IFERROR(I260/H260,"")</f>
        <v/>
      </c>
      <c r="O260" s="21">
        <f>IFERROR(G260/I260,"")</f>
        <v/>
      </c>
      <c r="P260" s="21">
        <f>IFERROR(G260/H260*1000,"")</f>
        <v/>
      </c>
      <c r="Q260" s="21">
        <f>IFERROR(G260/J260,"")</f>
        <v/>
      </c>
      <c r="R260" s="22">
        <f>IFERROR(K260/G260,"")</f>
        <v/>
      </c>
    </row>
    <row r="261">
      <c r="A261" s="11" t="n"/>
      <c r="G261" s="19" t="n"/>
      <c r="K261" s="19" t="n"/>
      <c r="L261" s="14">
        <f>IFERROR(VLOOKUP(M261,Ads_Mapping!$H$2:$I$499,2,FALSE),"Unmapped")</f>
        <v/>
      </c>
      <c r="M261" s="14">
        <f>IF(B261&lt;&gt;"",B261&amp;"|"&amp;C261&amp;"|"&amp;D261,"")</f>
        <v/>
      </c>
      <c r="N261" s="20">
        <f>IFERROR(I261/H261,"")</f>
        <v/>
      </c>
      <c r="O261" s="21">
        <f>IFERROR(G261/I261,"")</f>
        <v/>
      </c>
      <c r="P261" s="21">
        <f>IFERROR(G261/H261*1000,"")</f>
        <v/>
      </c>
      <c r="Q261" s="21">
        <f>IFERROR(G261/J261,"")</f>
        <v/>
      </c>
      <c r="R261" s="22">
        <f>IFERROR(K261/G261,"")</f>
        <v/>
      </c>
    </row>
    <row r="262">
      <c r="A262" s="11" t="n"/>
      <c r="G262" s="19" t="n"/>
      <c r="K262" s="19" t="n"/>
      <c r="L262" s="14">
        <f>IFERROR(VLOOKUP(M262,Ads_Mapping!$H$2:$I$499,2,FALSE),"Unmapped")</f>
        <v/>
      </c>
      <c r="M262" s="14">
        <f>IF(B262&lt;&gt;"",B262&amp;"|"&amp;C262&amp;"|"&amp;D262,"")</f>
        <v/>
      </c>
      <c r="N262" s="20">
        <f>IFERROR(I262/H262,"")</f>
        <v/>
      </c>
      <c r="O262" s="21">
        <f>IFERROR(G262/I262,"")</f>
        <v/>
      </c>
      <c r="P262" s="21">
        <f>IFERROR(G262/H262*1000,"")</f>
        <v/>
      </c>
      <c r="Q262" s="21">
        <f>IFERROR(G262/J262,"")</f>
        <v/>
      </c>
      <c r="R262" s="22">
        <f>IFERROR(K262/G262,"")</f>
        <v/>
      </c>
    </row>
    <row r="263">
      <c r="A263" s="11" t="n"/>
      <c r="G263" s="19" t="n"/>
      <c r="K263" s="19" t="n"/>
      <c r="L263" s="14">
        <f>IFERROR(VLOOKUP(M263,Ads_Mapping!$H$2:$I$499,2,FALSE),"Unmapped")</f>
        <v/>
      </c>
      <c r="M263" s="14">
        <f>IF(B263&lt;&gt;"",B263&amp;"|"&amp;C263&amp;"|"&amp;D263,"")</f>
        <v/>
      </c>
      <c r="N263" s="20">
        <f>IFERROR(I263/H263,"")</f>
        <v/>
      </c>
      <c r="O263" s="21">
        <f>IFERROR(G263/I263,"")</f>
        <v/>
      </c>
      <c r="P263" s="21">
        <f>IFERROR(G263/H263*1000,"")</f>
        <v/>
      </c>
      <c r="Q263" s="21">
        <f>IFERROR(G263/J263,"")</f>
        <v/>
      </c>
      <c r="R263" s="22">
        <f>IFERROR(K263/G263,"")</f>
        <v/>
      </c>
    </row>
    <row r="264">
      <c r="A264" s="11" t="n"/>
      <c r="G264" s="19" t="n"/>
      <c r="K264" s="19" t="n"/>
      <c r="L264" s="14">
        <f>IFERROR(VLOOKUP(M264,Ads_Mapping!$H$2:$I$499,2,FALSE),"Unmapped")</f>
        <v/>
      </c>
      <c r="M264" s="14">
        <f>IF(B264&lt;&gt;"",B264&amp;"|"&amp;C264&amp;"|"&amp;D264,"")</f>
        <v/>
      </c>
      <c r="N264" s="20">
        <f>IFERROR(I264/H264,"")</f>
        <v/>
      </c>
      <c r="O264" s="21">
        <f>IFERROR(G264/I264,"")</f>
        <v/>
      </c>
      <c r="P264" s="21">
        <f>IFERROR(G264/H264*1000,"")</f>
        <v/>
      </c>
      <c r="Q264" s="21">
        <f>IFERROR(G264/J264,"")</f>
        <v/>
      </c>
      <c r="R264" s="22">
        <f>IFERROR(K264/G264,"")</f>
        <v/>
      </c>
    </row>
    <row r="265">
      <c r="A265" s="11" t="n"/>
      <c r="G265" s="19" t="n"/>
      <c r="K265" s="19" t="n"/>
      <c r="L265" s="14">
        <f>IFERROR(VLOOKUP(M265,Ads_Mapping!$H$2:$I$499,2,FALSE),"Unmapped")</f>
        <v/>
      </c>
      <c r="M265" s="14">
        <f>IF(B265&lt;&gt;"",B265&amp;"|"&amp;C265&amp;"|"&amp;D265,"")</f>
        <v/>
      </c>
      <c r="N265" s="20">
        <f>IFERROR(I265/H265,"")</f>
        <v/>
      </c>
      <c r="O265" s="21">
        <f>IFERROR(G265/I265,"")</f>
        <v/>
      </c>
      <c r="P265" s="21">
        <f>IFERROR(G265/H265*1000,"")</f>
        <v/>
      </c>
      <c r="Q265" s="21">
        <f>IFERROR(G265/J265,"")</f>
        <v/>
      </c>
      <c r="R265" s="22">
        <f>IFERROR(K265/G265,"")</f>
        <v/>
      </c>
    </row>
    <row r="266">
      <c r="A266" s="11" t="n"/>
      <c r="G266" s="19" t="n"/>
      <c r="K266" s="19" t="n"/>
      <c r="L266" s="14">
        <f>IFERROR(VLOOKUP(M266,Ads_Mapping!$H$2:$I$499,2,FALSE),"Unmapped")</f>
        <v/>
      </c>
      <c r="M266" s="14">
        <f>IF(B266&lt;&gt;"",B266&amp;"|"&amp;C266&amp;"|"&amp;D266,"")</f>
        <v/>
      </c>
      <c r="N266" s="20">
        <f>IFERROR(I266/H266,"")</f>
        <v/>
      </c>
      <c r="O266" s="21">
        <f>IFERROR(G266/I266,"")</f>
        <v/>
      </c>
      <c r="P266" s="21">
        <f>IFERROR(G266/H266*1000,"")</f>
        <v/>
      </c>
      <c r="Q266" s="21">
        <f>IFERROR(G266/J266,"")</f>
        <v/>
      </c>
      <c r="R266" s="22">
        <f>IFERROR(K266/G266,"")</f>
        <v/>
      </c>
    </row>
    <row r="267">
      <c r="A267" s="11" t="n"/>
      <c r="G267" s="19" t="n"/>
      <c r="K267" s="19" t="n"/>
      <c r="L267" s="14">
        <f>IFERROR(VLOOKUP(M267,Ads_Mapping!$H$2:$I$499,2,FALSE),"Unmapped")</f>
        <v/>
      </c>
      <c r="M267" s="14">
        <f>IF(B267&lt;&gt;"",B267&amp;"|"&amp;C267&amp;"|"&amp;D267,"")</f>
        <v/>
      </c>
      <c r="N267" s="20">
        <f>IFERROR(I267/H267,"")</f>
        <v/>
      </c>
      <c r="O267" s="21">
        <f>IFERROR(G267/I267,"")</f>
        <v/>
      </c>
      <c r="P267" s="21">
        <f>IFERROR(G267/H267*1000,"")</f>
        <v/>
      </c>
      <c r="Q267" s="21">
        <f>IFERROR(G267/J267,"")</f>
        <v/>
      </c>
      <c r="R267" s="22">
        <f>IFERROR(K267/G267,"")</f>
        <v/>
      </c>
    </row>
    <row r="268">
      <c r="A268" s="11" t="n"/>
      <c r="G268" s="19" t="n"/>
      <c r="K268" s="19" t="n"/>
      <c r="L268" s="14">
        <f>IFERROR(VLOOKUP(M268,Ads_Mapping!$H$2:$I$499,2,FALSE),"Unmapped")</f>
        <v/>
      </c>
      <c r="M268" s="14">
        <f>IF(B268&lt;&gt;"",B268&amp;"|"&amp;C268&amp;"|"&amp;D268,"")</f>
        <v/>
      </c>
      <c r="N268" s="20">
        <f>IFERROR(I268/H268,"")</f>
        <v/>
      </c>
      <c r="O268" s="21">
        <f>IFERROR(G268/I268,"")</f>
        <v/>
      </c>
      <c r="P268" s="21">
        <f>IFERROR(G268/H268*1000,"")</f>
        <v/>
      </c>
      <c r="Q268" s="21">
        <f>IFERROR(G268/J268,"")</f>
        <v/>
      </c>
      <c r="R268" s="22">
        <f>IFERROR(K268/G268,"")</f>
        <v/>
      </c>
    </row>
    <row r="269">
      <c r="A269" s="11" t="n"/>
      <c r="G269" s="19" t="n"/>
      <c r="K269" s="19" t="n"/>
      <c r="L269" s="14">
        <f>IFERROR(VLOOKUP(M269,Ads_Mapping!$H$2:$I$499,2,FALSE),"Unmapped")</f>
        <v/>
      </c>
      <c r="M269" s="14">
        <f>IF(B269&lt;&gt;"",B269&amp;"|"&amp;C269&amp;"|"&amp;D269,"")</f>
        <v/>
      </c>
      <c r="N269" s="20">
        <f>IFERROR(I269/H269,"")</f>
        <v/>
      </c>
      <c r="O269" s="21">
        <f>IFERROR(G269/I269,"")</f>
        <v/>
      </c>
      <c r="P269" s="21">
        <f>IFERROR(G269/H269*1000,"")</f>
        <v/>
      </c>
      <c r="Q269" s="21">
        <f>IFERROR(G269/J269,"")</f>
        <v/>
      </c>
      <c r="R269" s="22">
        <f>IFERROR(K269/G269,"")</f>
        <v/>
      </c>
    </row>
    <row r="270">
      <c r="A270" s="11" t="n"/>
      <c r="G270" s="19" t="n"/>
      <c r="K270" s="19" t="n"/>
      <c r="L270" s="14">
        <f>IFERROR(VLOOKUP(M270,Ads_Mapping!$H$2:$I$499,2,FALSE),"Unmapped")</f>
        <v/>
      </c>
      <c r="M270" s="14">
        <f>IF(B270&lt;&gt;"",B270&amp;"|"&amp;C270&amp;"|"&amp;D270,"")</f>
        <v/>
      </c>
      <c r="N270" s="20">
        <f>IFERROR(I270/H270,"")</f>
        <v/>
      </c>
      <c r="O270" s="21">
        <f>IFERROR(G270/I270,"")</f>
        <v/>
      </c>
      <c r="P270" s="21">
        <f>IFERROR(G270/H270*1000,"")</f>
        <v/>
      </c>
      <c r="Q270" s="21">
        <f>IFERROR(G270/J270,"")</f>
        <v/>
      </c>
      <c r="R270" s="22">
        <f>IFERROR(K270/G270,"")</f>
        <v/>
      </c>
    </row>
    <row r="271">
      <c r="A271" s="11" t="n"/>
      <c r="G271" s="19" t="n"/>
      <c r="K271" s="19" t="n"/>
      <c r="L271" s="14">
        <f>IFERROR(VLOOKUP(M271,Ads_Mapping!$H$2:$I$499,2,FALSE),"Unmapped")</f>
        <v/>
      </c>
      <c r="M271" s="14">
        <f>IF(B271&lt;&gt;"",B271&amp;"|"&amp;C271&amp;"|"&amp;D271,"")</f>
        <v/>
      </c>
      <c r="N271" s="20">
        <f>IFERROR(I271/H271,"")</f>
        <v/>
      </c>
      <c r="O271" s="21">
        <f>IFERROR(G271/I271,"")</f>
        <v/>
      </c>
      <c r="P271" s="21">
        <f>IFERROR(G271/H271*1000,"")</f>
        <v/>
      </c>
      <c r="Q271" s="21">
        <f>IFERROR(G271/J271,"")</f>
        <v/>
      </c>
      <c r="R271" s="22">
        <f>IFERROR(K271/G271,"")</f>
        <v/>
      </c>
    </row>
    <row r="272">
      <c r="A272" s="11" t="n"/>
      <c r="G272" s="19" t="n"/>
      <c r="K272" s="19" t="n"/>
      <c r="L272" s="14">
        <f>IFERROR(VLOOKUP(M272,Ads_Mapping!$H$2:$I$499,2,FALSE),"Unmapped")</f>
        <v/>
      </c>
      <c r="M272" s="14">
        <f>IF(B272&lt;&gt;"",B272&amp;"|"&amp;C272&amp;"|"&amp;D272,"")</f>
        <v/>
      </c>
      <c r="N272" s="20">
        <f>IFERROR(I272/H272,"")</f>
        <v/>
      </c>
      <c r="O272" s="21">
        <f>IFERROR(G272/I272,"")</f>
        <v/>
      </c>
      <c r="P272" s="21">
        <f>IFERROR(G272/H272*1000,"")</f>
        <v/>
      </c>
      <c r="Q272" s="21">
        <f>IFERROR(G272/J272,"")</f>
        <v/>
      </c>
      <c r="R272" s="22">
        <f>IFERROR(K272/G272,"")</f>
        <v/>
      </c>
    </row>
    <row r="273">
      <c r="A273" s="11" t="n"/>
      <c r="G273" s="19" t="n"/>
      <c r="K273" s="19" t="n"/>
      <c r="L273" s="14">
        <f>IFERROR(VLOOKUP(M273,Ads_Mapping!$H$2:$I$499,2,FALSE),"Unmapped")</f>
        <v/>
      </c>
      <c r="M273" s="14">
        <f>IF(B273&lt;&gt;"",B273&amp;"|"&amp;C273&amp;"|"&amp;D273,"")</f>
        <v/>
      </c>
      <c r="N273" s="20">
        <f>IFERROR(I273/H273,"")</f>
        <v/>
      </c>
      <c r="O273" s="21">
        <f>IFERROR(G273/I273,"")</f>
        <v/>
      </c>
      <c r="P273" s="21">
        <f>IFERROR(G273/H273*1000,"")</f>
        <v/>
      </c>
      <c r="Q273" s="21">
        <f>IFERROR(G273/J273,"")</f>
        <v/>
      </c>
      <c r="R273" s="22">
        <f>IFERROR(K273/G273,"")</f>
        <v/>
      </c>
    </row>
    <row r="274">
      <c r="A274" s="11" t="n"/>
      <c r="G274" s="19" t="n"/>
      <c r="K274" s="19" t="n"/>
      <c r="L274" s="14">
        <f>IFERROR(VLOOKUP(M274,Ads_Mapping!$H$2:$I$499,2,FALSE),"Unmapped")</f>
        <v/>
      </c>
      <c r="M274" s="14">
        <f>IF(B274&lt;&gt;"",B274&amp;"|"&amp;C274&amp;"|"&amp;D274,"")</f>
        <v/>
      </c>
      <c r="N274" s="20">
        <f>IFERROR(I274/H274,"")</f>
        <v/>
      </c>
      <c r="O274" s="21">
        <f>IFERROR(G274/I274,"")</f>
        <v/>
      </c>
      <c r="P274" s="21">
        <f>IFERROR(G274/H274*1000,"")</f>
        <v/>
      </c>
      <c r="Q274" s="21">
        <f>IFERROR(G274/J274,"")</f>
        <v/>
      </c>
      <c r="R274" s="22">
        <f>IFERROR(K274/G274,"")</f>
        <v/>
      </c>
    </row>
    <row r="275">
      <c r="A275" s="11" t="n"/>
      <c r="G275" s="19" t="n"/>
      <c r="K275" s="19" t="n"/>
      <c r="L275" s="14">
        <f>IFERROR(VLOOKUP(M275,Ads_Mapping!$H$2:$I$499,2,FALSE),"Unmapped")</f>
        <v/>
      </c>
      <c r="M275" s="14">
        <f>IF(B275&lt;&gt;"",B275&amp;"|"&amp;C275&amp;"|"&amp;D275,"")</f>
        <v/>
      </c>
      <c r="N275" s="20">
        <f>IFERROR(I275/H275,"")</f>
        <v/>
      </c>
      <c r="O275" s="21">
        <f>IFERROR(G275/I275,"")</f>
        <v/>
      </c>
      <c r="P275" s="21">
        <f>IFERROR(G275/H275*1000,"")</f>
        <v/>
      </c>
      <c r="Q275" s="21">
        <f>IFERROR(G275/J275,"")</f>
        <v/>
      </c>
      <c r="R275" s="22">
        <f>IFERROR(K275/G275,"")</f>
        <v/>
      </c>
    </row>
    <row r="276">
      <c r="A276" s="11" t="n"/>
      <c r="G276" s="19" t="n"/>
      <c r="K276" s="19" t="n"/>
      <c r="L276" s="14">
        <f>IFERROR(VLOOKUP(M276,Ads_Mapping!$H$2:$I$499,2,FALSE),"Unmapped")</f>
        <v/>
      </c>
      <c r="M276" s="14">
        <f>IF(B276&lt;&gt;"",B276&amp;"|"&amp;C276&amp;"|"&amp;D276,"")</f>
        <v/>
      </c>
      <c r="N276" s="20">
        <f>IFERROR(I276/H276,"")</f>
        <v/>
      </c>
      <c r="O276" s="21">
        <f>IFERROR(G276/I276,"")</f>
        <v/>
      </c>
      <c r="P276" s="21">
        <f>IFERROR(G276/H276*1000,"")</f>
        <v/>
      </c>
      <c r="Q276" s="21">
        <f>IFERROR(G276/J276,"")</f>
        <v/>
      </c>
      <c r="R276" s="22">
        <f>IFERROR(K276/G276,"")</f>
        <v/>
      </c>
    </row>
    <row r="277">
      <c r="A277" s="11" t="n"/>
      <c r="G277" s="19" t="n"/>
      <c r="K277" s="19" t="n"/>
      <c r="L277" s="14">
        <f>IFERROR(VLOOKUP(M277,Ads_Mapping!$H$2:$I$499,2,FALSE),"Unmapped")</f>
        <v/>
      </c>
      <c r="M277" s="14">
        <f>IF(B277&lt;&gt;"",B277&amp;"|"&amp;C277&amp;"|"&amp;D277,"")</f>
        <v/>
      </c>
      <c r="N277" s="20">
        <f>IFERROR(I277/H277,"")</f>
        <v/>
      </c>
      <c r="O277" s="21">
        <f>IFERROR(G277/I277,"")</f>
        <v/>
      </c>
      <c r="P277" s="21">
        <f>IFERROR(G277/H277*1000,"")</f>
        <v/>
      </c>
      <c r="Q277" s="21">
        <f>IFERROR(G277/J277,"")</f>
        <v/>
      </c>
      <c r="R277" s="22">
        <f>IFERROR(K277/G277,"")</f>
        <v/>
      </c>
    </row>
    <row r="278">
      <c r="A278" s="11" t="n"/>
      <c r="G278" s="19" t="n"/>
      <c r="K278" s="19" t="n"/>
      <c r="L278" s="14">
        <f>IFERROR(VLOOKUP(M278,Ads_Mapping!$H$2:$I$499,2,FALSE),"Unmapped")</f>
        <v/>
      </c>
      <c r="M278" s="14">
        <f>IF(B278&lt;&gt;"",B278&amp;"|"&amp;C278&amp;"|"&amp;D278,"")</f>
        <v/>
      </c>
      <c r="N278" s="20">
        <f>IFERROR(I278/H278,"")</f>
        <v/>
      </c>
      <c r="O278" s="21">
        <f>IFERROR(G278/I278,"")</f>
        <v/>
      </c>
      <c r="P278" s="21">
        <f>IFERROR(G278/H278*1000,"")</f>
        <v/>
      </c>
      <c r="Q278" s="21">
        <f>IFERROR(G278/J278,"")</f>
        <v/>
      </c>
      <c r="R278" s="22">
        <f>IFERROR(K278/G278,"")</f>
        <v/>
      </c>
    </row>
    <row r="279">
      <c r="A279" s="11" t="n"/>
      <c r="G279" s="19" t="n"/>
      <c r="K279" s="19" t="n"/>
      <c r="L279" s="14">
        <f>IFERROR(VLOOKUP(M279,Ads_Mapping!$H$2:$I$499,2,FALSE),"Unmapped")</f>
        <v/>
      </c>
      <c r="M279" s="14">
        <f>IF(B279&lt;&gt;"",B279&amp;"|"&amp;C279&amp;"|"&amp;D279,"")</f>
        <v/>
      </c>
      <c r="N279" s="20">
        <f>IFERROR(I279/H279,"")</f>
        <v/>
      </c>
      <c r="O279" s="21">
        <f>IFERROR(G279/I279,"")</f>
        <v/>
      </c>
      <c r="P279" s="21">
        <f>IFERROR(G279/H279*1000,"")</f>
        <v/>
      </c>
      <c r="Q279" s="21">
        <f>IFERROR(G279/J279,"")</f>
        <v/>
      </c>
      <c r="R279" s="22">
        <f>IFERROR(K279/G279,"")</f>
        <v/>
      </c>
    </row>
    <row r="280">
      <c r="A280" s="11" t="n"/>
      <c r="G280" s="19" t="n"/>
      <c r="K280" s="19" t="n"/>
      <c r="L280" s="14">
        <f>IFERROR(VLOOKUP(M280,Ads_Mapping!$H$2:$I$499,2,FALSE),"Unmapped")</f>
        <v/>
      </c>
      <c r="M280" s="14">
        <f>IF(B280&lt;&gt;"",B280&amp;"|"&amp;C280&amp;"|"&amp;D280,"")</f>
        <v/>
      </c>
      <c r="N280" s="20">
        <f>IFERROR(I280/H280,"")</f>
        <v/>
      </c>
      <c r="O280" s="21">
        <f>IFERROR(G280/I280,"")</f>
        <v/>
      </c>
      <c r="P280" s="21">
        <f>IFERROR(G280/H280*1000,"")</f>
        <v/>
      </c>
      <c r="Q280" s="21">
        <f>IFERROR(G280/J280,"")</f>
        <v/>
      </c>
      <c r="R280" s="22">
        <f>IFERROR(K280/G280,"")</f>
        <v/>
      </c>
    </row>
    <row r="281">
      <c r="A281" s="11" t="n"/>
      <c r="G281" s="19" t="n"/>
      <c r="K281" s="19" t="n"/>
      <c r="L281" s="14">
        <f>IFERROR(VLOOKUP(M281,Ads_Mapping!$H$2:$I$499,2,FALSE),"Unmapped")</f>
        <v/>
      </c>
      <c r="M281" s="14">
        <f>IF(B281&lt;&gt;"",B281&amp;"|"&amp;C281&amp;"|"&amp;D281,"")</f>
        <v/>
      </c>
      <c r="N281" s="20">
        <f>IFERROR(I281/H281,"")</f>
        <v/>
      </c>
      <c r="O281" s="21">
        <f>IFERROR(G281/I281,"")</f>
        <v/>
      </c>
      <c r="P281" s="21">
        <f>IFERROR(G281/H281*1000,"")</f>
        <v/>
      </c>
      <c r="Q281" s="21">
        <f>IFERROR(G281/J281,"")</f>
        <v/>
      </c>
      <c r="R281" s="22">
        <f>IFERROR(K281/G281,"")</f>
        <v/>
      </c>
    </row>
    <row r="282">
      <c r="A282" s="11" t="n"/>
      <c r="G282" s="19" t="n"/>
      <c r="K282" s="19" t="n"/>
      <c r="L282" s="14">
        <f>IFERROR(VLOOKUP(M282,Ads_Mapping!$H$2:$I$499,2,FALSE),"Unmapped")</f>
        <v/>
      </c>
      <c r="M282" s="14">
        <f>IF(B282&lt;&gt;"",B282&amp;"|"&amp;C282&amp;"|"&amp;D282,"")</f>
        <v/>
      </c>
      <c r="N282" s="20">
        <f>IFERROR(I282/H282,"")</f>
        <v/>
      </c>
      <c r="O282" s="21">
        <f>IFERROR(G282/I282,"")</f>
        <v/>
      </c>
      <c r="P282" s="21">
        <f>IFERROR(G282/H282*1000,"")</f>
        <v/>
      </c>
      <c r="Q282" s="21">
        <f>IFERROR(G282/J282,"")</f>
        <v/>
      </c>
      <c r="R282" s="22">
        <f>IFERROR(K282/G282,"")</f>
        <v/>
      </c>
    </row>
    <row r="283">
      <c r="A283" s="11" t="n"/>
      <c r="G283" s="19" t="n"/>
      <c r="K283" s="19" t="n"/>
      <c r="L283" s="14">
        <f>IFERROR(VLOOKUP(M283,Ads_Mapping!$H$2:$I$499,2,FALSE),"Unmapped")</f>
        <v/>
      </c>
      <c r="M283" s="14">
        <f>IF(B283&lt;&gt;"",B283&amp;"|"&amp;C283&amp;"|"&amp;D283,"")</f>
        <v/>
      </c>
      <c r="N283" s="20">
        <f>IFERROR(I283/H283,"")</f>
        <v/>
      </c>
      <c r="O283" s="21">
        <f>IFERROR(G283/I283,"")</f>
        <v/>
      </c>
      <c r="P283" s="21">
        <f>IFERROR(G283/H283*1000,"")</f>
        <v/>
      </c>
      <c r="Q283" s="21">
        <f>IFERROR(G283/J283,"")</f>
        <v/>
      </c>
      <c r="R283" s="22">
        <f>IFERROR(K283/G283,"")</f>
        <v/>
      </c>
    </row>
    <row r="284">
      <c r="A284" s="11" t="n"/>
      <c r="G284" s="19" t="n"/>
      <c r="K284" s="19" t="n"/>
      <c r="L284" s="14">
        <f>IFERROR(VLOOKUP(M284,Ads_Mapping!$H$2:$I$499,2,FALSE),"Unmapped")</f>
        <v/>
      </c>
      <c r="M284" s="14">
        <f>IF(B284&lt;&gt;"",B284&amp;"|"&amp;C284&amp;"|"&amp;D284,"")</f>
        <v/>
      </c>
      <c r="N284" s="20">
        <f>IFERROR(I284/H284,"")</f>
        <v/>
      </c>
      <c r="O284" s="21">
        <f>IFERROR(G284/I284,"")</f>
        <v/>
      </c>
      <c r="P284" s="21">
        <f>IFERROR(G284/H284*1000,"")</f>
        <v/>
      </c>
      <c r="Q284" s="21">
        <f>IFERROR(G284/J284,"")</f>
        <v/>
      </c>
      <c r="R284" s="22">
        <f>IFERROR(K284/G284,"")</f>
        <v/>
      </c>
    </row>
    <row r="285">
      <c r="A285" s="11" t="n"/>
      <c r="G285" s="19" t="n"/>
      <c r="K285" s="19" t="n"/>
      <c r="L285" s="14">
        <f>IFERROR(VLOOKUP(M285,Ads_Mapping!$H$2:$I$499,2,FALSE),"Unmapped")</f>
        <v/>
      </c>
      <c r="M285" s="14">
        <f>IF(B285&lt;&gt;"",B285&amp;"|"&amp;C285&amp;"|"&amp;D285,"")</f>
        <v/>
      </c>
      <c r="N285" s="20">
        <f>IFERROR(I285/H285,"")</f>
        <v/>
      </c>
      <c r="O285" s="21">
        <f>IFERROR(G285/I285,"")</f>
        <v/>
      </c>
      <c r="P285" s="21">
        <f>IFERROR(G285/H285*1000,"")</f>
        <v/>
      </c>
      <c r="Q285" s="21">
        <f>IFERROR(G285/J285,"")</f>
        <v/>
      </c>
      <c r="R285" s="22">
        <f>IFERROR(K285/G285,"")</f>
        <v/>
      </c>
    </row>
    <row r="286">
      <c r="A286" s="11" t="n"/>
      <c r="G286" s="19" t="n"/>
      <c r="K286" s="19" t="n"/>
      <c r="L286" s="14">
        <f>IFERROR(VLOOKUP(M286,Ads_Mapping!$H$2:$I$499,2,FALSE),"Unmapped")</f>
        <v/>
      </c>
      <c r="M286" s="14">
        <f>IF(B286&lt;&gt;"",B286&amp;"|"&amp;C286&amp;"|"&amp;D286,"")</f>
        <v/>
      </c>
      <c r="N286" s="20">
        <f>IFERROR(I286/H286,"")</f>
        <v/>
      </c>
      <c r="O286" s="21">
        <f>IFERROR(G286/I286,"")</f>
        <v/>
      </c>
      <c r="P286" s="21">
        <f>IFERROR(G286/H286*1000,"")</f>
        <v/>
      </c>
      <c r="Q286" s="21">
        <f>IFERROR(G286/J286,"")</f>
        <v/>
      </c>
      <c r="R286" s="22">
        <f>IFERROR(K286/G286,"")</f>
        <v/>
      </c>
    </row>
    <row r="287">
      <c r="A287" s="11" t="n"/>
      <c r="G287" s="19" t="n"/>
      <c r="K287" s="19" t="n"/>
      <c r="L287" s="14">
        <f>IFERROR(VLOOKUP(M287,Ads_Mapping!$H$2:$I$499,2,FALSE),"Unmapped")</f>
        <v/>
      </c>
      <c r="M287" s="14">
        <f>IF(B287&lt;&gt;"",B287&amp;"|"&amp;C287&amp;"|"&amp;D287,"")</f>
        <v/>
      </c>
      <c r="N287" s="20">
        <f>IFERROR(I287/H287,"")</f>
        <v/>
      </c>
      <c r="O287" s="21">
        <f>IFERROR(G287/I287,"")</f>
        <v/>
      </c>
      <c r="P287" s="21">
        <f>IFERROR(G287/H287*1000,"")</f>
        <v/>
      </c>
      <c r="Q287" s="21">
        <f>IFERROR(G287/J287,"")</f>
        <v/>
      </c>
      <c r="R287" s="22">
        <f>IFERROR(K287/G287,"")</f>
        <v/>
      </c>
    </row>
    <row r="288">
      <c r="A288" s="11" t="n"/>
      <c r="G288" s="19" t="n"/>
      <c r="K288" s="19" t="n"/>
      <c r="L288" s="14">
        <f>IFERROR(VLOOKUP(M288,Ads_Mapping!$H$2:$I$499,2,FALSE),"Unmapped")</f>
        <v/>
      </c>
      <c r="M288" s="14">
        <f>IF(B288&lt;&gt;"",B288&amp;"|"&amp;C288&amp;"|"&amp;D288,"")</f>
        <v/>
      </c>
      <c r="N288" s="20">
        <f>IFERROR(I288/H288,"")</f>
        <v/>
      </c>
      <c r="O288" s="21">
        <f>IFERROR(G288/I288,"")</f>
        <v/>
      </c>
      <c r="P288" s="21">
        <f>IFERROR(G288/H288*1000,"")</f>
        <v/>
      </c>
      <c r="Q288" s="21">
        <f>IFERROR(G288/J288,"")</f>
        <v/>
      </c>
      <c r="R288" s="22">
        <f>IFERROR(K288/G288,"")</f>
        <v/>
      </c>
    </row>
    <row r="289">
      <c r="A289" s="11" t="n"/>
      <c r="G289" s="19" t="n"/>
      <c r="K289" s="19" t="n"/>
      <c r="L289" s="14">
        <f>IFERROR(VLOOKUP(M289,Ads_Mapping!$H$2:$I$499,2,FALSE),"Unmapped")</f>
        <v/>
      </c>
      <c r="M289" s="14">
        <f>IF(B289&lt;&gt;"",B289&amp;"|"&amp;C289&amp;"|"&amp;D289,"")</f>
        <v/>
      </c>
      <c r="N289" s="20">
        <f>IFERROR(I289/H289,"")</f>
        <v/>
      </c>
      <c r="O289" s="21">
        <f>IFERROR(G289/I289,"")</f>
        <v/>
      </c>
      <c r="P289" s="21">
        <f>IFERROR(G289/H289*1000,"")</f>
        <v/>
      </c>
      <c r="Q289" s="21">
        <f>IFERROR(G289/J289,"")</f>
        <v/>
      </c>
      <c r="R289" s="22">
        <f>IFERROR(K289/G289,"")</f>
        <v/>
      </c>
    </row>
    <row r="290">
      <c r="A290" s="11" t="n"/>
      <c r="G290" s="19" t="n"/>
      <c r="K290" s="19" t="n"/>
      <c r="L290" s="14">
        <f>IFERROR(VLOOKUP(M290,Ads_Mapping!$H$2:$I$499,2,FALSE),"Unmapped")</f>
        <v/>
      </c>
      <c r="M290" s="14">
        <f>IF(B290&lt;&gt;"",B290&amp;"|"&amp;C290&amp;"|"&amp;D290,"")</f>
        <v/>
      </c>
      <c r="N290" s="20">
        <f>IFERROR(I290/H290,"")</f>
        <v/>
      </c>
      <c r="O290" s="21">
        <f>IFERROR(G290/I290,"")</f>
        <v/>
      </c>
      <c r="P290" s="21">
        <f>IFERROR(G290/H290*1000,"")</f>
        <v/>
      </c>
      <c r="Q290" s="21">
        <f>IFERROR(G290/J290,"")</f>
        <v/>
      </c>
      <c r="R290" s="22">
        <f>IFERROR(K290/G290,"")</f>
        <v/>
      </c>
    </row>
    <row r="291">
      <c r="A291" s="11" t="n"/>
      <c r="G291" s="19" t="n"/>
      <c r="K291" s="19" t="n"/>
      <c r="L291" s="14">
        <f>IFERROR(VLOOKUP(M291,Ads_Mapping!$H$2:$I$499,2,FALSE),"Unmapped")</f>
        <v/>
      </c>
      <c r="M291" s="14">
        <f>IF(B291&lt;&gt;"",B291&amp;"|"&amp;C291&amp;"|"&amp;D291,"")</f>
        <v/>
      </c>
      <c r="N291" s="20">
        <f>IFERROR(I291/H291,"")</f>
        <v/>
      </c>
      <c r="O291" s="21">
        <f>IFERROR(G291/I291,"")</f>
        <v/>
      </c>
      <c r="P291" s="21">
        <f>IFERROR(G291/H291*1000,"")</f>
        <v/>
      </c>
      <c r="Q291" s="21">
        <f>IFERROR(G291/J291,"")</f>
        <v/>
      </c>
      <c r="R291" s="22">
        <f>IFERROR(K291/G291,"")</f>
        <v/>
      </c>
    </row>
    <row r="292">
      <c r="A292" s="11" t="n"/>
      <c r="G292" s="19" t="n"/>
      <c r="K292" s="19" t="n"/>
      <c r="L292" s="14">
        <f>IFERROR(VLOOKUP(M292,Ads_Mapping!$H$2:$I$499,2,FALSE),"Unmapped")</f>
        <v/>
      </c>
      <c r="M292" s="14">
        <f>IF(B292&lt;&gt;"",B292&amp;"|"&amp;C292&amp;"|"&amp;D292,"")</f>
        <v/>
      </c>
      <c r="N292" s="20">
        <f>IFERROR(I292/H292,"")</f>
        <v/>
      </c>
      <c r="O292" s="21">
        <f>IFERROR(G292/I292,"")</f>
        <v/>
      </c>
      <c r="P292" s="21">
        <f>IFERROR(G292/H292*1000,"")</f>
        <v/>
      </c>
      <c r="Q292" s="21">
        <f>IFERROR(G292/J292,"")</f>
        <v/>
      </c>
      <c r="R292" s="22">
        <f>IFERROR(K292/G292,"")</f>
        <v/>
      </c>
    </row>
    <row r="293">
      <c r="A293" s="11" t="n"/>
      <c r="G293" s="19" t="n"/>
      <c r="K293" s="19" t="n"/>
      <c r="L293" s="14">
        <f>IFERROR(VLOOKUP(M293,Ads_Mapping!$H$2:$I$499,2,FALSE),"Unmapped")</f>
        <v/>
      </c>
      <c r="M293" s="14">
        <f>IF(B293&lt;&gt;"",B293&amp;"|"&amp;C293&amp;"|"&amp;D293,"")</f>
        <v/>
      </c>
      <c r="N293" s="20">
        <f>IFERROR(I293/H293,"")</f>
        <v/>
      </c>
      <c r="O293" s="21">
        <f>IFERROR(G293/I293,"")</f>
        <v/>
      </c>
      <c r="P293" s="21">
        <f>IFERROR(G293/H293*1000,"")</f>
        <v/>
      </c>
      <c r="Q293" s="21">
        <f>IFERROR(G293/J293,"")</f>
        <v/>
      </c>
      <c r="R293" s="22">
        <f>IFERROR(K293/G293,"")</f>
        <v/>
      </c>
    </row>
    <row r="294">
      <c r="A294" s="11" t="n"/>
      <c r="G294" s="19" t="n"/>
      <c r="K294" s="19" t="n"/>
      <c r="L294" s="14">
        <f>IFERROR(VLOOKUP(M294,Ads_Mapping!$H$2:$I$499,2,FALSE),"Unmapped")</f>
        <v/>
      </c>
      <c r="M294" s="14">
        <f>IF(B294&lt;&gt;"",B294&amp;"|"&amp;C294&amp;"|"&amp;D294,"")</f>
        <v/>
      </c>
      <c r="N294" s="20">
        <f>IFERROR(I294/H294,"")</f>
        <v/>
      </c>
      <c r="O294" s="21">
        <f>IFERROR(G294/I294,"")</f>
        <v/>
      </c>
      <c r="P294" s="21">
        <f>IFERROR(G294/H294*1000,"")</f>
        <v/>
      </c>
      <c r="Q294" s="21">
        <f>IFERROR(G294/J294,"")</f>
        <v/>
      </c>
      <c r="R294" s="22">
        <f>IFERROR(K294/G294,"")</f>
        <v/>
      </c>
    </row>
    <row r="295">
      <c r="A295" s="11" t="n"/>
      <c r="G295" s="19" t="n"/>
      <c r="K295" s="19" t="n"/>
      <c r="L295" s="14">
        <f>IFERROR(VLOOKUP(M295,Ads_Mapping!$H$2:$I$499,2,FALSE),"Unmapped")</f>
        <v/>
      </c>
      <c r="M295" s="14">
        <f>IF(B295&lt;&gt;"",B295&amp;"|"&amp;C295&amp;"|"&amp;D295,"")</f>
        <v/>
      </c>
      <c r="N295" s="20">
        <f>IFERROR(I295/H295,"")</f>
        <v/>
      </c>
      <c r="O295" s="21">
        <f>IFERROR(G295/I295,"")</f>
        <v/>
      </c>
      <c r="P295" s="21">
        <f>IFERROR(G295/H295*1000,"")</f>
        <v/>
      </c>
      <c r="Q295" s="21">
        <f>IFERROR(G295/J295,"")</f>
        <v/>
      </c>
      <c r="R295" s="22">
        <f>IFERROR(K295/G295,"")</f>
        <v/>
      </c>
    </row>
    <row r="296">
      <c r="A296" s="11" t="n"/>
      <c r="G296" s="19" t="n"/>
      <c r="K296" s="19" t="n"/>
      <c r="L296" s="14">
        <f>IFERROR(VLOOKUP(M296,Ads_Mapping!$H$2:$I$499,2,FALSE),"Unmapped")</f>
        <v/>
      </c>
      <c r="M296" s="14">
        <f>IF(B296&lt;&gt;"",B296&amp;"|"&amp;C296&amp;"|"&amp;D296,"")</f>
        <v/>
      </c>
      <c r="N296" s="20">
        <f>IFERROR(I296/H296,"")</f>
        <v/>
      </c>
      <c r="O296" s="21">
        <f>IFERROR(G296/I296,"")</f>
        <v/>
      </c>
      <c r="P296" s="21">
        <f>IFERROR(G296/H296*1000,"")</f>
        <v/>
      </c>
      <c r="Q296" s="21">
        <f>IFERROR(G296/J296,"")</f>
        <v/>
      </c>
      <c r="R296" s="22">
        <f>IFERROR(K296/G296,"")</f>
        <v/>
      </c>
    </row>
    <row r="297">
      <c r="A297" s="11" t="n"/>
      <c r="G297" s="19" t="n"/>
      <c r="K297" s="19" t="n"/>
      <c r="L297" s="14">
        <f>IFERROR(VLOOKUP(M297,Ads_Mapping!$H$2:$I$499,2,FALSE),"Unmapped")</f>
        <v/>
      </c>
      <c r="M297" s="14">
        <f>IF(B297&lt;&gt;"",B297&amp;"|"&amp;C297&amp;"|"&amp;D297,"")</f>
        <v/>
      </c>
      <c r="N297" s="20">
        <f>IFERROR(I297/H297,"")</f>
        <v/>
      </c>
      <c r="O297" s="21">
        <f>IFERROR(G297/I297,"")</f>
        <v/>
      </c>
      <c r="P297" s="21">
        <f>IFERROR(G297/H297*1000,"")</f>
        <v/>
      </c>
      <c r="Q297" s="21">
        <f>IFERROR(G297/J297,"")</f>
        <v/>
      </c>
      <c r="R297" s="22">
        <f>IFERROR(K297/G297,"")</f>
        <v/>
      </c>
    </row>
    <row r="298">
      <c r="A298" s="11" t="n"/>
      <c r="G298" s="19" t="n"/>
      <c r="K298" s="19" t="n"/>
      <c r="L298" s="14">
        <f>IFERROR(VLOOKUP(M298,Ads_Mapping!$H$2:$I$499,2,FALSE),"Unmapped")</f>
        <v/>
      </c>
      <c r="M298" s="14">
        <f>IF(B298&lt;&gt;"",B298&amp;"|"&amp;C298&amp;"|"&amp;D298,"")</f>
        <v/>
      </c>
      <c r="N298" s="20">
        <f>IFERROR(I298/H298,"")</f>
        <v/>
      </c>
      <c r="O298" s="21">
        <f>IFERROR(G298/I298,"")</f>
        <v/>
      </c>
      <c r="P298" s="21">
        <f>IFERROR(G298/H298*1000,"")</f>
        <v/>
      </c>
      <c r="Q298" s="21">
        <f>IFERROR(G298/J298,"")</f>
        <v/>
      </c>
      <c r="R298" s="22">
        <f>IFERROR(K298/G298,"")</f>
        <v/>
      </c>
    </row>
    <row r="299">
      <c r="A299" s="11" t="n"/>
      <c r="G299" s="19" t="n"/>
      <c r="K299" s="19" t="n"/>
      <c r="L299" s="14">
        <f>IFERROR(VLOOKUP(M299,Ads_Mapping!$H$2:$I$499,2,FALSE),"Unmapped")</f>
        <v/>
      </c>
      <c r="M299" s="14">
        <f>IF(B299&lt;&gt;"",B299&amp;"|"&amp;C299&amp;"|"&amp;D299,"")</f>
        <v/>
      </c>
      <c r="N299" s="20">
        <f>IFERROR(I299/H299,"")</f>
        <v/>
      </c>
      <c r="O299" s="21">
        <f>IFERROR(G299/I299,"")</f>
        <v/>
      </c>
      <c r="P299" s="21">
        <f>IFERROR(G299/H299*1000,"")</f>
        <v/>
      </c>
      <c r="Q299" s="21">
        <f>IFERROR(G299/J299,"")</f>
        <v/>
      </c>
      <c r="R299" s="22">
        <f>IFERROR(K299/G299,"")</f>
        <v/>
      </c>
    </row>
    <row r="300">
      <c r="A300" s="11" t="n"/>
      <c r="G300" s="19" t="n"/>
      <c r="K300" s="19" t="n"/>
      <c r="L300" s="14">
        <f>IFERROR(VLOOKUP(M300,Ads_Mapping!$H$2:$I$499,2,FALSE),"Unmapped")</f>
        <v/>
      </c>
      <c r="M300" s="14">
        <f>IF(B300&lt;&gt;"",B300&amp;"|"&amp;C300&amp;"|"&amp;D300,"")</f>
        <v/>
      </c>
      <c r="N300" s="20">
        <f>IFERROR(I300/H300,"")</f>
        <v/>
      </c>
      <c r="O300" s="21">
        <f>IFERROR(G300/I300,"")</f>
        <v/>
      </c>
      <c r="P300" s="21">
        <f>IFERROR(G300/H300*1000,"")</f>
        <v/>
      </c>
      <c r="Q300" s="21">
        <f>IFERROR(G300/J300,"")</f>
        <v/>
      </c>
      <c r="R300" s="22">
        <f>IFERROR(K300/G300,"")</f>
        <v/>
      </c>
    </row>
    <row r="301">
      <c r="A301" s="11" t="n"/>
      <c r="G301" s="19" t="n"/>
      <c r="K301" s="19" t="n"/>
      <c r="L301" s="14">
        <f>IFERROR(VLOOKUP(M301,Ads_Mapping!$H$2:$I$499,2,FALSE),"Unmapped")</f>
        <v/>
      </c>
      <c r="M301" s="14">
        <f>IF(B301&lt;&gt;"",B301&amp;"|"&amp;C301&amp;"|"&amp;D301,"")</f>
        <v/>
      </c>
      <c r="N301" s="20">
        <f>IFERROR(I301/H301,"")</f>
        <v/>
      </c>
      <c r="O301" s="21">
        <f>IFERROR(G301/I301,"")</f>
        <v/>
      </c>
      <c r="P301" s="21">
        <f>IFERROR(G301/H301*1000,"")</f>
        <v/>
      </c>
      <c r="Q301" s="21">
        <f>IFERROR(G301/J301,"")</f>
        <v/>
      </c>
      <c r="R301" s="22">
        <f>IFERROR(K301/G301,"")</f>
        <v/>
      </c>
    </row>
    <row r="302">
      <c r="A302" s="11" t="n"/>
      <c r="G302" s="19" t="n"/>
      <c r="K302" s="19" t="n"/>
      <c r="N302" s="20" t="n"/>
      <c r="O302" s="21" t="n"/>
      <c r="P302" s="21" t="n"/>
      <c r="Q302" s="21" t="n"/>
      <c r="R302" s="22" t="n"/>
    </row>
    <row r="303">
      <c r="A303" s="11" t="n"/>
      <c r="G303" s="19" t="n"/>
      <c r="K303" s="19" t="n"/>
      <c r="N303" s="20" t="n"/>
      <c r="O303" s="21" t="n"/>
      <c r="P303" s="21" t="n"/>
      <c r="Q303" s="21" t="n"/>
      <c r="R303" s="22" t="n"/>
    </row>
  </sheetData>
  <conditionalFormatting sqref="L2:L301">
    <cfRule type="colorScale" priority="1">
      <colorScale>
        <cfvo type="num" val="0"/>
        <cfvo type="num" val="0.5"/>
        <cfvo type="num" val="1"/>
        <color rgb="00FFFFFF"/>
        <color rgb="00FFF2CC"/>
        <color rgb="00F8CBAD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12" customWidth="1" min="5" max="5"/>
    <col width="30" customWidth="1" min="6" max="6"/>
  </cols>
  <sheetData>
    <row r="1" ht="24" customHeight="1">
      <c r="A1" s="9" t="inlineStr">
        <is>
          <t>Staff_ID</t>
        </is>
      </c>
      <c r="B1" s="9" t="inlineStr">
        <is>
          <t>Client</t>
        </is>
      </c>
      <c r="C1" s="9" t="inlineStr">
        <is>
          <t>Goal_Type (ROAS/CPA)</t>
        </is>
      </c>
      <c r="D1" s="9" t="inlineStr">
        <is>
          <t>Target_ROAS</t>
        </is>
      </c>
      <c r="E1" s="9" t="inlineStr">
        <is>
          <t>Target_CPA</t>
        </is>
      </c>
      <c r="F1" s="9" t="inlineStr">
        <is>
          <t>Notes</t>
        </is>
      </c>
    </row>
    <row r="2">
      <c r="A2" s="3" t="inlineStr">
        <is>
          <t>S001</t>
        </is>
      </c>
      <c r="B2" s="3" t="inlineStr">
        <is>
          <t>Acme Fitness</t>
        </is>
      </c>
      <c r="C2" s="3" t="inlineStr">
        <is>
          <t>ROAS</t>
        </is>
      </c>
      <c r="D2" s="3" t="n">
        <v>3</v>
      </c>
      <c r="E2" s="3" t="inlineStr"/>
      <c r="F2" s="3" t="inlineStr">
        <is>
          <t>Prospecting + retarget blended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</sheetData>
  <dataValidations count="2">
    <dataValidation sqref="A2:A500" showDropDown="0" showInputMessage="0" showErrorMessage="0" allowBlank="1" type="list">
      <formula1>=Staff!$A$2:$A$200</formula1>
    </dataValidation>
    <dataValidation sqref="C2:C500" showDropDown="0" showInputMessage="0" showErrorMessage="0" allowBlank="1" type="list">
      <formula1>"ROAS,CPA"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6" customWidth="1" min="11" max="11"/>
  </cols>
  <sheetData>
    <row r="1" ht="30" customHeight="1">
      <c r="A1" s="9" t="inlineStr">
        <is>
          <t>Staff_ID</t>
        </is>
      </c>
      <c r="B1" s="9" t="inlineStr">
        <is>
          <t>Name</t>
        </is>
      </c>
      <c r="C1" s="9" t="inlineStr">
        <is>
          <t>SK01</t>
        </is>
      </c>
      <c r="D1" s="9" t="inlineStr">
        <is>
          <t>SK02</t>
        </is>
      </c>
      <c r="E1" s="9" t="inlineStr">
        <is>
          <t>SK03</t>
        </is>
      </c>
      <c r="F1" s="9" t="inlineStr">
        <is>
          <t>SK04</t>
        </is>
      </c>
      <c r="G1" s="9" t="inlineStr">
        <is>
          <t>SK05</t>
        </is>
      </c>
      <c r="H1" s="9" t="inlineStr">
        <is>
          <t>SK06</t>
        </is>
      </c>
      <c r="I1" s="9" t="inlineStr">
        <is>
          <t>SK07</t>
        </is>
      </c>
      <c r="J1" s="9" t="inlineStr">
        <is>
          <t>SK08</t>
        </is>
      </c>
      <c r="K1" s="9" t="inlineStr">
        <is>
          <t>Skill_Index (0–100)</t>
        </is>
      </c>
    </row>
    <row r="2">
      <c r="A2" s="3">
        <f>IF(Staff!A2&lt;&gt;"",Staff!A2,"")</f>
        <v/>
      </c>
      <c r="B2" s="3">
        <f>IF(A2&lt;&gt;"",VLOOKUP(A2,Staff!$A$2:$B$200,2,FALSE),"")</f>
        <v/>
      </c>
      <c r="C2" s="23">
        <f>IFERROR(SUMIFS(Skill_Assessments!$D$2:$D$500,Skill_Assessments!$B$2:$B$500,$A2,Skill_Assessments!$C$2:$C$500,C1,Skill_Assessments!$A$2:$A$500,"&gt;="&amp;Setup!$B$4,Skill_Assessments!$A$2:$A$500,"&lt;="&amp;Setup!$B$5)/COUNTIFS(Skill_Assessments!$B$2:$B$500,$A2,Skill_Assessments!$C$2:$C$500,C1,Skill_Assessments!$A$2:$A$500,"&gt;="&amp;Setup!$B$4,Skill_Assessments!$A$2:$A$500,"&lt;="&amp;Setup!$B$5),"")</f>
        <v/>
      </c>
      <c r="D2" s="23">
        <f>IFERROR(SUMIFS(Skill_Assessments!$D$2:$D$500,Skill_Assessments!$B$2:$B$500,$A2,Skill_Assessments!$C$2:$C$500,D1,Skill_Assessments!$A$2:$A$500,"&gt;="&amp;Setup!$B$4,Skill_Assessments!$A$2:$A$500,"&lt;="&amp;Setup!$B$5)/COUNTIFS(Skill_Assessments!$B$2:$B$500,$A2,Skill_Assessments!$C$2:$C$500,D1,Skill_Assessments!$A$2:$A$500,"&gt;="&amp;Setup!$B$4,Skill_Assessments!$A$2:$A$500,"&lt;="&amp;Setup!$B$5),"")</f>
        <v/>
      </c>
      <c r="E2" s="23">
        <f>IFERROR(SUMIFS(Skill_Assessments!$D$2:$D$500,Skill_Assessments!$B$2:$B$500,$A2,Skill_Assessments!$C$2:$C$500,E1,Skill_Assessments!$A$2:$A$500,"&gt;="&amp;Setup!$B$4,Skill_Assessments!$A$2:$A$500,"&lt;="&amp;Setup!$B$5)/COUNTIFS(Skill_Assessments!$B$2:$B$500,$A2,Skill_Assessments!$C$2:$C$500,E1,Skill_Assessments!$A$2:$A$500,"&gt;="&amp;Setup!$B$4,Skill_Assessments!$A$2:$A$500,"&lt;="&amp;Setup!$B$5),"")</f>
        <v/>
      </c>
      <c r="F2" s="23">
        <f>IFERROR(SUMIFS(Skill_Assessments!$D$2:$D$500,Skill_Assessments!$B$2:$B$500,$A2,Skill_Assessments!$C$2:$C$500,F1,Skill_Assessments!$A$2:$A$500,"&gt;="&amp;Setup!$B$4,Skill_Assessments!$A$2:$A$500,"&lt;="&amp;Setup!$B$5)/COUNTIFS(Skill_Assessments!$B$2:$B$500,$A2,Skill_Assessments!$C$2:$C$500,F1,Skill_Assessments!$A$2:$A$500,"&gt;="&amp;Setup!$B$4,Skill_Assessments!$A$2:$A$500,"&lt;="&amp;Setup!$B$5),"")</f>
        <v/>
      </c>
      <c r="G2" s="23">
        <f>IFERROR(SUMIFS(Skill_Assessments!$D$2:$D$500,Skill_Assessments!$B$2:$B$500,$A2,Skill_Assessments!$C$2:$C$500,G1,Skill_Assessments!$A$2:$A$500,"&gt;="&amp;Setup!$B$4,Skill_Assessments!$A$2:$A$500,"&lt;="&amp;Setup!$B$5)/COUNTIFS(Skill_Assessments!$B$2:$B$500,$A2,Skill_Assessments!$C$2:$C$500,G1,Skill_Assessments!$A$2:$A$500,"&gt;="&amp;Setup!$B$4,Skill_Assessments!$A$2:$A$500,"&lt;="&amp;Setup!$B$5),"")</f>
        <v/>
      </c>
      <c r="H2" s="23">
        <f>IFERROR(SUMIFS(Skill_Assessments!$D$2:$D$500,Skill_Assessments!$B$2:$B$500,$A2,Skill_Assessments!$C$2:$C$500,H1,Skill_Assessments!$A$2:$A$500,"&gt;="&amp;Setup!$B$4,Skill_Assessments!$A$2:$A$500,"&lt;="&amp;Setup!$B$5)/COUNTIFS(Skill_Assessments!$B$2:$B$500,$A2,Skill_Assessments!$C$2:$C$500,H1,Skill_Assessments!$A$2:$A$500,"&gt;="&amp;Setup!$B$4,Skill_Assessments!$A$2:$A$500,"&lt;="&amp;Setup!$B$5),"")</f>
        <v/>
      </c>
      <c r="I2" s="23">
        <f>IFERROR(SUMIFS(Skill_Assessments!$D$2:$D$500,Skill_Assessments!$B$2:$B$500,$A2,Skill_Assessments!$C$2:$C$500,I1,Skill_Assessments!$A$2:$A$500,"&gt;="&amp;Setup!$B$4,Skill_Assessments!$A$2:$A$500,"&lt;="&amp;Setup!$B$5)/COUNTIFS(Skill_Assessments!$B$2:$B$500,$A2,Skill_Assessments!$C$2:$C$500,I1,Skill_Assessments!$A$2:$A$500,"&gt;="&amp;Setup!$B$4,Skill_Assessments!$A$2:$A$500,"&lt;="&amp;Setup!$B$5),"")</f>
        <v/>
      </c>
      <c r="J2" s="23">
        <f>IFERROR(SUMIFS(Skill_Assessments!$D$2:$D$500,Skill_Assessments!$B$2:$B$500,$A2,Skill_Assessments!$C$2:$C$500,J1,Skill_Assessments!$A$2:$A$500,"&gt;="&amp;Setup!$B$4,Skill_Assessments!$A$2:$A$500,"&lt;="&amp;Setup!$B$5)/COUNTIFS(Skill_Assessments!$B$2:$B$500,$A2,Skill_Assessments!$C$2:$C$500,J1,Skill_Assessments!$A$2:$A$500,"&gt;="&amp;Setup!$B$4,Skill_Assessments!$A$2:$A$500,"&lt;="&amp;Setup!$B$5),"")</f>
        <v/>
      </c>
      <c r="K2" s="23">
        <f>IFERROR(SUMPRODUCT(C2:J2,Skills_List!$D$2:$D$9)/(5*SUM(Skills_List!$D$2:$D$9))*100,"")</f>
        <v/>
      </c>
    </row>
    <row r="3">
      <c r="A3" s="3">
        <f>IF(Staff!A3&lt;&gt;"",Staff!A3,"")</f>
        <v/>
      </c>
      <c r="B3" s="3">
        <f>IF(A3&lt;&gt;"",VLOOKUP(A3,Staff!$A$2:$B$200,2,FALSE),"")</f>
        <v/>
      </c>
      <c r="C3" s="23">
        <f>IFERROR(SUMIFS(Skill_Assessments!$D$2:$D$500,Skill_Assessments!$B$2:$B$500,$A3,Skill_Assessments!$C$2:$C$500,C1,Skill_Assessments!$A$2:$A$500,"&gt;="&amp;Setup!$B$4,Skill_Assessments!$A$2:$A$500,"&lt;="&amp;Setup!$B$5)/COUNTIFS(Skill_Assessments!$B$2:$B$500,$A3,Skill_Assessments!$C$2:$C$500,C1,Skill_Assessments!$A$2:$A$500,"&gt;="&amp;Setup!$B$4,Skill_Assessments!$A$2:$A$500,"&lt;="&amp;Setup!$B$5),"")</f>
        <v/>
      </c>
      <c r="D3" s="23">
        <f>IFERROR(SUMIFS(Skill_Assessments!$D$2:$D$500,Skill_Assessments!$B$2:$B$500,$A3,Skill_Assessments!$C$2:$C$500,D1,Skill_Assessments!$A$2:$A$500,"&gt;="&amp;Setup!$B$4,Skill_Assessments!$A$2:$A$500,"&lt;="&amp;Setup!$B$5)/COUNTIFS(Skill_Assessments!$B$2:$B$500,$A3,Skill_Assessments!$C$2:$C$500,D1,Skill_Assessments!$A$2:$A$500,"&gt;="&amp;Setup!$B$4,Skill_Assessments!$A$2:$A$500,"&lt;="&amp;Setup!$B$5),"")</f>
        <v/>
      </c>
      <c r="E3" s="23">
        <f>IFERROR(SUMIFS(Skill_Assessments!$D$2:$D$500,Skill_Assessments!$B$2:$B$500,$A3,Skill_Assessments!$C$2:$C$500,E1,Skill_Assessments!$A$2:$A$500,"&gt;="&amp;Setup!$B$4,Skill_Assessments!$A$2:$A$500,"&lt;="&amp;Setup!$B$5)/COUNTIFS(Skill_Assessments!$B$2:$B$500,$A3,Skill_Assessments!$C$2:$C$500,E1,Skill_Assessments!$A$2:$A$500,"&gt;="&amp;Setup!$B$4,Skill_Assessments!$A$2:$A$500,"&lt;="&amp;Setup!$B$5),"")</f>
        <v/>
      </c>
      <c r="F3" s="23">
        <f>IFERROR(SUMIFS(Skill_Assessments!$D$2:$D$500,Skill_Assessments!$B$2:$B$500,$A3,Skill_Assessments!$C$2:$C$500,F1,Skill_Assessments!$A$2:$A$500,"&gt;="&amp;Setup!$B$4,Skill_Assessments!$A$2:$A$500,"&lt;="&amp;Setup!$B$5)/COUNTIFS(Skill_Assessments!$B$2:$B$500,$A3,Skill_Assessments!$C$2:$C$500,F1,Skill_Assessments!$A$2:$A$500,"&gt;="&amp;Setup!$B$4,Skill_Assessments!$A$2:$A$500,"&lt;="&amp;Setup!$B$5),"")</f>
        <v/>
      </c>
      <c r="G3" s="23">
        <f>IFERROR(SUMIFS(Skill_Assessments!$D$2:$D$500,Skill_Assessments!$B$2:$B$500,$A3,Skill_Assessments!$C$2:$C$500,G1,Skill_Assessments!$A$2:$A$500,"&gt;="&amp;Setup!$B$4,Skill_Assessments!$A$2:$A$500,"&lt;="&amp;Setup!$B$5)/COUNTIFS(Skill_Assessments!$B$2:$B$500,$A3,Skill_Assessments!$C$2:$C$500,G1,Skill_Assessments!$A$2:$A$500,"&gt;="&amp;Setup!$B$4,Skill_Assessments!$A$2:$A$500,"&lt;="&amp;Setup!$B$5),"")</f>
        <v/>
      </c>
      <c r="H3" s="23">
        <f>IFERROR(SUMIFS(Skill_Assessments!$D$2:$D$500,Skill_Assessments!$B$2:$B$500,$A3,Skill_Assessments!$C$2:$C$500,H1,Skill_Assessments!$A$2:$A$500,"&gt;="&amp;Setup!$B$4,Skill_Assessments!$A$2:$A$500,"&lt;="&amp;Setup!$B$5)/COUNTIFS(Skill_Assessments!$B$2:$B$500,$A3,Skill_Assessments!$C$2:$C$500,H1,Skill_Assessments!$A$2:$A$500,"&gt;="&amp;Setup!$B$4,Skill_Assessments!$A$2:$A$500,"&lt;="&amp;Setup!$B$5),"")</f>
        <v/>
      </c>
      <c r="I3" s="23">
        <f>IFERROR(SUMIFS(Skill_Assessments!$D$2:$D$500,Skill_Assessments!$B$2:$B$500,$A3,Skill_Assessments!$C$2:$C$500,I1,Skill_Assessments!$A$2:$A$500,"&gt;="&amp;Setup!$B$4,Skill_Assessments!$A$2:$A$500,"&lt;="&amp;Setup!$B$5)/COUNTIFS(Skill_Assessments!$B$2:$B$500,$A3,Skill_Assessments!$C$2:$C$500,I1,Skill_Assessments!$A$2:$A$500,"&gt;="&amp;Setup!$B$4,Skill_Assessments!$A$2:$A$500,"&lt;="&amp;Setup!$B$5),"")</f>
        <v/>
      </c>
      <c r="J3" s="23">
        <f>IFERROR(SUMIFS(Skill_Assessments!$D$2:$D$500,Skill_Assessments!$B$2:$B$500,$A3,Skill_Assessments!$C$2:$C$500,J1,Skill_Assessments!$A$2:$A$500,"&gt;="&amp;Setup!$B$4,Skill_Assessments!$A$2:$A$500,"&lt;="&amp;Setup!$B$5)/COUNTIFS(Skill_Assessments!$B$2:$B$500,$A3,Skill_Assessments!$C$2:$C$500,J1,Skill_Assessments!$A$2:$A$500,"&gt;="&amp;Setup!$B$4,Skill_Assessments!$A$2:$A$500,"&lt;="&amp;Setup!$B$5),"")</f>
        <v/>
      </c>
      <c r="K3" s="23">
        <f>IFERROR(SUMPRODUCT(C3:J3,Skills_List!$D$2:$D$9)/(5*SUM(Skills_List!$D$2:$D$9))*100,"")</f>
        <v/>
      </c>
    </row>
    <row r="4">
      <c r="A4" s="3">
        <f>IF(Staff!A4&lt;&gt;"",Staff!A4,"")</f>
        <v/>
      </c>
      <c r="B4" s="3">
        <f>IF(A4&lt;&gt;"",VLOOKUP(A4,Staff!$A$2:$B$200,2,FALSE),"")</f>
        <v/>
      </c>
      <c r="C4" s="23">
        <f>IFERROR(SUMIFS(Skill_Assessments!$D$2:$D$500,Skill_Assessments!$B$2:$B$500,$A4,Skill_Assessments!$C$2:$C$500,C1,Skill_Assessments!$A$2:$A$500,"&gt;="&amp;Setup!$B$4,Skill_Assessments!$A$2:$A$500,"&lt;="&amp;Setup!$B$5)/COUNTIFS(Skill_Assessments!$B$2:$B$500,$A4,Skill_Assessments!$C$2:$C$500,C1,Skill_Assessments!$A$2:$A$500,"&gt;="&amp;Setup!$B$4,Skill_Assessments!$A$2:$A$500,"&lt;="&amp;Setup!$B$5),"")</f>
        <v/>
      </c>
      <c r="D4" s="23">
        <f>IFERROR(SUMIFS(Skill_Assessments!$D$2:$D$500,Skill_Assessments!$B$2:$B$500,$A4,Skill_Assessments!$C$2:$C$500,D1,Skill_Assessments!$A$2:$A$500,"&gt;="&amp;Setup!$B$4,Skill_Assessments!$A$2:$A$500,"&lt;="&amp;Setup!$B$5)/COUNTIFS(Skill_Assessments!$B$2:$B$500,$A4,Skill_Assessments!$C$2:$C$500,D1,Skill_Assessments!$A$2:$A$500,"&gt;="&amp;Setup!$B$4,Skill_Assessments!$A$2:$A$500,"&lt;="&amp;Setup!$B$5),"")</f>
        <v/>
      </c>
      <c r="E4" s="23">
        <f>IFERROR(SUMIFS(Skill_Assessments!$D$2:$D$500,Skill_Assessments!$B$2:$B$500,$A4,Skill_Assessments!$C$2:$C$500,E1,Skill_Assessments!$A$2:$A$500,"&gt;="&amp;Setup!$B$4,Skill_Assessments!$A$2:$A$500,"&lt;="&amp;Setup!$B$5)/COUNTIFS(Skill_Assessments!$B$2:$B$500,$A4,Skill_Assessments!$C$2:$C$500,E1,Skill_Assessments!$A$2:$A$500,"&gt;="&amp;Setup!$B$4,Skill_Assessments!$A$2:$A$500,"&lt;="&amp;Setup!$B$5),"")</f>
        <v/>
      </c>
      <c r="F4" s="23">
        <f>IFERROR(SUMIFS(Skill_Assessments!$D$2:$D$500,Skill_Assessments!$B$2:$B$500,$A4,Skill_Assessments!$C$2:$C$500,F1,Skill_Assessments!$A$2:$A$500,"&gt;="&amp;Setup!$B$4,Skill_Assessments!$A$2:$A$500,"&lt;="&amp;Setup!$B$5)/COUNTIFS(Skill_Assessments!$B$2:$B$500,$A4,Skill_Assessments!$C$2:$C$500,F1,Skill_Assessments!$A$2:$A$500,"&gt;="&amp;Setup!$B$4,Skill_Assessments!$A$2:$A$500,"&lt;="&amp;Setup!$B$5),"")</f>
        <v/>
      </c>
      <c r="G4" s="23">
        <f>IFERROR(SUMIFS(Skill_Assessments!$D$2:$D$500,Skill_Assessments!$B$2:$B$500,$A4,Skill_Assessments!$C$2:$C$500,G1,Skill_Assessments!$A$2:$A$500,"&gt;="&amp;Setup!$B$4,Skill_Assessments!$A$2:$A$500,"&lt;="&amp;Setup!$B$5)/COUNTIFS(Skill_Assessments!$B$2:$B$500,$A4,Skill_Assessments!$C$2:$C$500,G1,Skill_Assessments!$A$2:$A$500,"&gt;="&amp;Setup!$B$4,Skill_Assessments!$A$2:$A$500,"&lt;="&amp;Setup!$B$5),"")</f>
        <v/>
      </c>
      <c r="H4" s="23">
        <f>IFERROR(SUMIFS(Skill_Assessments!$D$2:$D$500,Skill_Assessments!$B$2:$B$500,$A4,Skill_Assessments!$C$2:$C$500,H1,Skill_Assessments!$A$2:$A$500,"&gt;="&amp;Setup!$B$4,Skill_Assessments!$A$2:$A$500,"&lt;="&amp;Setup!$B$5)/COUNTIFS(Skill_Assessments!$B$2:$B$500,$A4,Skill_Assessments!$C$2:$C$500,H1,Skill_Assessments!$A$2:$A$500,"&gt;="&amp;Setup!$B$4,Skill_Assessments!$A$2:$A$500,"&lt;="&amp;Setup!$B$5),"")</f>
        <v/>
      </c>
      <c r="I4" s="23">
        <f>IFERROR(SUMIFS(Skill_Assessments!$D$2:$D$500,Skill_Assessments!$B$2:$B$500,$A4,Skill_Assessments!$C$2:$C$500,I1,Skill_Assessments!$A$2:$A$500,"&gt;="&amp;Setup!$B$4,Skill_Assessments!$A$2:$A$500,"&lt;="&amp;Setup!$B$5)/COUNTIFS(Skill_Assessments!$B$2:$B$500,$A4,Skill_Assessments!$C$2:$C$500,I1,Skill_Assessments!$A$2:$A$500,"&gt;="&amp;Setup!$B$4,Skill_Assessments!$A$2:$A$500,"&lt;="&amp;Setup!$B$5),"")</f>
        <v/>
      </c>
      <c r="J4" s="23">
        <f>IFERROR(SUMIFS(Skill_Assessments!$D$2:$D$500,Skill_Assessments!$B$2:$B$500,$A4,Skill_Assessments!$C$2:$C$500,J1,Skill_Assessments!$A$2:$A$500,"&gt;="&amp;Setup!$B$4,Skill_Assessments!$A$2:$A$500,"&lt;="&amp;Setup!$B$5)/COUNTIFS(Skill_Assessments!$B$2:$B$500,$A4,Skill_Assessments!$C$2:$C$500,J1,Skill_Assessments!$A$2:$A$500,"&gt;="&amp;Setup!$B$4,Skill_Assessments!$A$2:$A$500,"&lt;="&amp;Setup!$B$5),"")</f>
        <v/>
      </c>
      <c r="K4" s="23">
        <f>IFERROR(SUMPRODUCT(C4:J4,Skills_List!$D$2:$D$9)/(5*SUM(Skills_List!$D$2:$D$9))*100,"")</f>
        <v/>
      </c>
    </row>
    <row r="5">
      <c r="A5" s="3">
        <f>IF(Staff!A5&lt;&gt;"",Staff!A5,"")</f>
        <v/>
      </c>
      <c r="B5" s="3">
        <f>IF(A5&lt;&gt;"",VLOOKUP(A5,Staff!$A$2:$B$200,2,FALSE),"")</f>
        <v/>
      </c>
      <c r="C5" s="23">
        <f>IFERROR(SUMIFS(Skill_Assessments!$D$2:$D$500,Skill_Assessments!$B$2:$B$500,$A5,Skill_Assessments!$C$2:$C$500,C1,Skill_Assessments!$A$2:$A$500,"&gt;="&amp;Setup!$B$4,Skill_Assessments!$A$2:$A$500,"&lt;="&amp;Setup!$B$5)/COUNTIFS(Skill_Assessments!$B$2:$B$500,$A5,Skill_Assessments!$C$2:$C$500,C1,Skill_Assessments!$A$2:$A$500,"&gt;="&amp;Setup!$B$4,Skill_Assessments!$A$2:$A$500,"&lt;="&amp;Setup!$B$5),"")</f>
        <v/>
      </c>
      <c r="D5" s="23">
        <f>IFERROR(SUMIFS(Skill_Assessments!$D$2:$D$500,Skill_Assessments!$B$2:$B$500,$A5,Skill_Assessments!$C$2:$C$500,D1,Skill_Assessments!$A$2:$A$500,"&gt;="&amp;Setup!$B$4,Skill_Assessments!$A$2:$A$500,"&lt;="&amp;Setup!$B$5)/COUNTIFS(Skill_Assessments!$B$2:$B$500,$A5,Skill_Assessments!$C$2:$C$500,D1,Skill_Assessments!$A$2:$A$500,"&gt;="&amp;Setup!$B$4,Skill_Assessments!$A$2:$A$500,"&lt;="&amp;Setup!$B$5),"")</f>
        <v/>
      </c>
      <c r="E5" s="23">
        <f>IFERROR(SUMIFS(Skill_Assessments!$D$2:$D$500,Skill_Assessments!$B$2:$B$500,$A5,Skill_Assessments!$C$2:$C$500,E1,Skill_Assessments!$A$2:$A$500,"&gt;="&amp;Setup!$B$4,Skill_Assessments!$A$2:$A$500,"&lt;="&amp;Setup!$B$5)/COUNTIFS(Skill_Assessments!$B$2:$B$500,$A5,Skill_Assessments!$C$2:$C$500,E1,Skill_Assessments!$A$2:$A$500,"&gt;="&amp;Setup!$B$4,Skill_Assessments!$A$2:$A$500,"&lt;="&amp;Setup!$B$5),"")</f>
        <v/>
      </c>
      <c r="F5" s="23">
        <f>IFERROR(SUMIFS(Skill_Assessments!$D$2:$D$500,Skill_Assessments!$B$2:$B$500,$A5,Skill_Assessments!$C$2:$C$500,F1,Skill_Assessments!$A$2:$A$500,"&gt;="&amp;Setup!$B$4,Skill_Assessments!$A$2:$A$500,"&lt;="&amp;Setup!$B$5)/COUNTIFS(Skill_Assessments!$B$2:$B$500,$A5,Skill_Assessments!$C$2:$C$500,F1,Skill_Assessments!$A$2:$A$500,"&gt;="&amp;Setup!$B$4,Skill_Assessments!$A$2:$A$500,"&lt;="&amp;Setup!$B$5),"")</f>
        <v/>
      </c>
      <c r="G5" s="23">
        <f>IFERROR(SUMIFS(Skill_Assessments!$D$2:$D$500,Skill_Assessments!$B$2:$B$500,$A5,Skill_Assessments!$C$2:$C$500,G1,Skill_Assessments!$A$2:$A$500,"&gt;="&amp;Setup!$B$4,Skill_Assessments!$A$2:$A$500,"&lt;="&amp;Setup!$B$5)/COUNTIFS(Skill_Assessments!$B$2:$B$500,$A5,Skill_Assessments!$C$2:$C$500,G1,Skill_Assessments!$A$2:$A$500,"&gt;="&amp;Setup!$B$4,Skill_Assessments!$A$2:$A$500,"&lt;="&amp;Setup!$B$5),"")</f>
        <v/>
      </c>
      <c r="H5" s="23">
        <f>IFERROR(SUMIFS(Skill_Assessments!$D$2:$D$500,Skill_Assessments!$B$2:$B$500,$A5,Skill_Assessments!$C$2:$C$500,H1,Skill_Assessments!$A$2:$A$500,"&gt;="&amp;Setup!$B$4,Skill_Assessments!$A$2:$A$500,"&lt;="&amp;Setup!$B$5)/COUNTIFS(Skill_Assessments!$B$2:$B$500,$A5,Skill_Assessments!$C$2:$C$500,H1,Skill_Assessments!$A$2:$A$500,"&gt;="&amp;Setup!$B$4,Skill_Assessments!$A$2:$A$500,"&lt;="&amp;Setup!$B$5),"")</f>
        <v/>
      </c>
      <c r="I5" s="23">
        <f>IFERROR(SUMIFS(Skill_Assessments!$D$2:$D$500,Skill_Assessments!$B$2:$B$500,$A5,Skill_Assessments!$C$2:$C$500,I1,Skill_Assessments!$A$2:$A$500,"&gt;="&amp;Setup!$B$4,Skill_Assessments!$A$2:$A$500,"&lt;="&amp;Setup!$B$5)/COUNTIFS(Skill_Assessments!$B$2:$B$500,$A5,Skill_Assessments!$C$2:$C$500,I1,Skill_Assessments!$A$2:$A$500,"&gt;="&amp;Setup!$B$4,Skill_Assessments!$A$2:$A$500,"&lt;="&amp;Setup!$B$5),"")</f>
        <v/>
      </c>
      <c r="J5" s="23">
        <f>IFERROR(SUMIFS(Skill_Assessments!$D$2:$D$500,Skill_Assessments!$B$2:$B$500,$A5,Skill_Assessments!$C$2:$C$500,J1,Skill_Assessments!$A$2:$A$500,"&gt;="&amp;Setup!$B$4,Skill_Assessments!$A$2:$A$500,"&lt;="&amp;Setup!$B$5)/COUNTIFS(Skill_Assessments!$B$2:$B$500,$A5,Skill_Assessments!$C$2:$C$500,J1,Skill_Assessments!$A$2:$A$500,"&gt;="&amp;Setup!$B$4,Skill_Assessments!$A$2:$A$500,"&lt;="&amp;Setup!$B$5),"")</f>
        <v/>
      </c>
      <c r="K5" s="23">
        <f>IFERROR(SUMPRODUCT(C5:J5,Skills_List!$D$2:$D$9)/(5*SUM(Skills_List!$D$2:$D$9))*100,"")</f>
        <v/>
      </c>
    </row>
    <row r="6">
      <c r="A6" s="3">
        <f>IF(Staff!A6&lt;&gt;"",Staff!A6,"")</f>
        <v/>
      </c>
      <c r="B6" s="3">
        <f>IF(A6&lt;&gt;"",VLOOKUP(A6,Staff!$A$2:$B$200,2,FALSE),"")</f>
        <v/>
      </c>
      <c r="C6" s="23">
        <f>IFERROR(SUMIFS(Skill_Assessments!$D$2:$D$500,Skill_Assessments!$B$2:$B$500,$A6,Skill_Assessments!$C$2:$C$500,C1,Skill_Assessments!$A$2:$A$500,"&gt;="&amp;Setup!$B$4,Skill_Assessments!$A$2:$A$500,"&lt;="&amp;Setup!$B$5)/COUNTIFS(Skill_Assessments!$B$2:$B$500,$A6,Skill_Assessments!$C$2:$C$500,C1,Skill_Assessments!$A$2:$A$500,"&gt;="&amp;Setup!$B$4,Skill_Assessments!$A$2:$A$500,"&lt;="&amp;Setup!$B$5),"")</f>
        <v/>
      </c>
      <c r="D6" s="23">
        <f>IFERROR(SUMIFS(Skill_Assessments!$D$2:$D$500,Skill_Assessments!$B$2:$B$500,$A6,Skill_Assessments!$C$2:$C$500,D1,Skill_Assessments!$A$2:$A$500,"&gt;="&amp;Setup!$B$4,Skill_Assessments!$A$2:$A$500,"&lt;="&amp;Setup!$B$5)/COUNTIFS(Skill_Assessments!$B$2:$B$500,$A6,Skill_Assessments!$C$2:$C$500,D1,Skill_Assessments!$A$2:$A$500,"&gt;="&amp;Setup!$B$4,Skill_Assessments!$A$2:$A$500,"&lt;="&amp;Setup!$B$5),"")</f>
        <v/>
      </c>
      <c r="E6" s="23">
        <f>IFERROR(SUMIFS(Skill_Assessments!$D$2:$D$500,Skill_Assessments!$B$2:$B$500,$A6,Skill_Assessments!$C$2:$C$500,E1,Skill_Assessments!$A$2:$A$500,"&gt;="&amp;Setup!$B$4,Skill_Assessments!$A$2:$A$500,"&lt;="&amp;Setup!$B$5)/COUNTIFS(Skill_Assessments!$B$2:$B$500,$A6,Skill_Assessments!$C$2:$C$500,E1,Skill_Assessments!$A$2:$A$500,"&gt;="&amp;Setup!$B$4,Skill_Assessments!$A$2:$A$500,"&lt;="&amp;Setup!$B$5),"")</f>
        <v/>
      </c>
      <c r="F6" s="23">
        <f>IFERROR(SUMIFS(Skill_Assessments!$D$2:$D$500,Skill_Assessments!$B$2:$B$500,$A6,Skill_Assessments!$C$2:$C$500,F1,Skill_Assessments!$A$2:$A$500,"&gt;="&amp;Setup!$B$4,Skill_Assessments!$A$2:$A$500,"&lt;="&amp;Setup!$B$5)/COUNTIFS(Skill_Assessments!$B$2:$B$500,$A6,Skill_Assessments!$C$2:$C$500,F1,Skill_Assessments!$A$2:$A$500,"&gt;="&amp;Setup!$B$4,Skill_Assessments!$A$2:$A$500,"&lt;="&amp;Setup!$B$5),"")</f>
        <v/>
      </c>
      <c r="G6" s="23">
        <f>IFERROR(SUMIFS(Skill_Assessments!$D$2:$D$500,Skill_Assessments!$B$2:$B$500,$A6,Skill_Assessments!$C$2:$C$500,G1,Skill_Assessments!$A$2:$A$500,"&gt;="&amp;Setup!$B$4,Skill_Assessments!$A$2:$A$500,"&lt;="&amp;Setup!$B$5)/COUNTIFS(Skill_Assessments!$B$2:$B$500,$A6,Skill_Assessments!$C$2:$C$500,G1,Skill_Assessments!$A$2:$A$500,"&gt;="&amp;Setup!$B$4,Skill_Assessments!$A$2:$A$500,"&lt;="&amp;Setup!$B$5),"")</f>
        <v/>
      </c>
      <c r="H6" s="23">
        <f>IFERROR(SUMIFS(Skill_Assessments!$D$2:$D$500,Skill_Assessments!$B$2:$B$500,$A6,Skill_Assessments!$C$2:$C$500,H1,Skill_Assessments!$A$2:$A$500,"&gt;="&amp;Setup!$B$4,Skill_Assessments!$A$2:$A$500,"&lt;="&amp;Setup!$B$5)/COUNTIFS(Skill_Assessments!$B$2:$B$500,$A6,Skill_Assessments!$C$2:$C$500,H1,Skill_Assessments!$A$2:$A$500,"&gt;="&amp;Setup!$B$4,Skill_Assessments!$A$2:$A$500,"&lt;="&amp;Setup!$B$5),"")</f>
        <v/>
      </c>
      <c r="I6" s="23">
        <f>IFERROR(SUMIFS(Skill_Assessments!$D$2:$D$500,Skill_Assessments!$B$2:$B$500,$A6,Skill_Assessments!$C$2:$C$500,I1,Skill_Assessments!$A$2:$A$500,"&gt;="&amp;Setup!$B$4,Skill_Assessments!$A$2:$A$500,"&lt;="&amp;Setup!$B$5)/COUNTIFS(Skill_Assessments!$B$2:$B$500,$A6,Skill_Assessments!$C$2:$C$500,I1,Skill_Assessments!$A$2:$A$500,"&gt;="&amp;Setup!$B$4,Skill_Assessments!$A$2:$A$500,"&lt;="&amp;Setup!$B$5),"")</f>
        <v/>
      </c>
      <c r="J6" s="23">
        <f>IFERROR(SUMIFS(Skill_Assessments!$D$2:$D$500,Skill_Assessments!$B$2:$B$500,$A6,Skill_Assessments!$C$2:$C$500,J1,Skill_Assessments!$A$2:$A$500,"&gt;="&amp;Setup!$B$4,Skill_Assessments!$A$2:$A$500,"&lt;="&amp;Setup!$B$5)/COUNTIFS(Skill_Assessments!$B$2:$B$500,$A6,Skill_Assessments!$C$2:$C$500,J1,Skill_Assessments!$A$2:$A$500,"&gt;="&amp;Setup!$B$4,Skill_Assessments!$A$2:$A$500,"&lt;="&amp;Setup!$B$5),"")</f>
        <v/>
      </c>
      <c r="K6" s="23">
        <f>IFERROR(SUMPRODUCT(C6:J6,Skills_List!$D$2:$D$9)/(5*SUM(Skills_List!$D$2:$D$9))*100,"")</f>
        <v/>
      </c>
    </row>
    <row r="7">
      <c r="A7" s="3">
        <f>IF(Staff!A7&lt;&gt;"",Staff!A7,"")</f>
        <v/>
      </c>
      <c r="B7" s="3">
        <f>IF(A7&lt;&gt;"",VLOOKUP(A7,Staff!$A$2:$B$200,2,FALSE),"")</f>
        <v/>
      </c>
      <c r="C7" s="23">
        <f>IFERROR(SUMIFS(Skill_Assessments!$D$2:$D$500,Skill_Assessments!$B$2:$B$500,$A7,Skill_Assessments!$C$2:$C$500,C1,Skill_Assessments!$A$2:$A$500,"&gt;="&amp;Setup!$B$4,Skill_Assessments!$A$2:$A$500,"&lt;="&amp;Setup!$B$5)/COUNTIFS(Skill_Assessments!$B$2:$B$500,$A7,Skill_Assessments!$C$2:$C$500,C1,Skill_Assessments!$A$2:$A$500,"&gt;="&amp;Setup!$B$4,Skill_Assessments!$A$2:$A$500,"&lt;="&amp;Setup!$B$5),"")</f>
        <v/>
      </c>
      <c r="D7" s="23">
        <f>IFERROR(SUMIFS(Skill_Assessments!$D$2:$D$500,Skill_Assessments!$B$2:$B$500,$A7,Skill_Assessments!$C$2:$C$500,D1,Skill_Assessments!$A$2:$A$500,"&gt;="&amp;Setup!$B$4,Skill_Assessments!$A$2:$A$500,"&lt;="&amp;Setup!$B$5)/COUNTIFS(Skill_Assessments!$B$2:$B$500,$A7,Skill_Assessments!$C$2:$C$500,D1,Skill_Assessments!$A$2:$A$500,"&gt;="&amp;Setup!$B$4,Skill_Assessments!$A$2:$A$500,"&lt;="&amp;Setup!$B$5),"")</f>
        <v/>
      </c>
      <c r="E7" s="23">
        <f>IFERROR(SUMIFS(Skill_Assessments!$D$2:$D$500,Skill_Assessments!$B$2:$B$500,$A7,Skill_Assessments!$C$2:$C$500,E1,Skill_Assessments!$A$2:$A$500,"&gt;="&amp;Setup!$B$4,Skill_Assessments!$A$2:$A$500,"&lt;="&amp;Setup!$B$5)/COUNTIFS(Skill_Assessments!$B$2:$B$500,$A7,Skill_Assessments!$C$2:$C$500,E1,Skill_Assessments!$A$2:$A$500,"&gt;="&amp;Setup!$B$4,Skill_Assessments!$A$2:$A$500,"&lt;="&amp;Setup!$B$5),"")</f>
        <v/>
      </c>
      <c r="F7" s="23">
        <f>IFERROR(SUMIFS(Skill_Assessments!$D$2:$D$500,Skill_Assessments!$B$2:$B$500,$A7,Skill_Assessments!$C$2:$C$500,F1,Skill_Assessments!$A$2:$A$500,"&gt;="&amp;Setup!$B$4,Skill_Assessments!$A$2:$A$500,"&lt;="&amp;Setup!$B$5)/COUNTIFS(Skill_Assessments!$B$2:$B$500,$A7,Skill_Assessments!$C$2:$C$500,F1,Skill_Assessments!$A$2:$A$500,"&gt;="&amp;Setup!$B$4,Skill_Assessments!$A$2:$A$500,"&lt;="&amp;Setup!$B$5),"")</f>
        <v/>
      </c>
      <c r="G7" s="23">
        <f>IFERROR(SUMIFS(Skill_Assessments!$D$2:$D$500,Skill_Assessments!$B$2:$B$500,$A7,Skill_Assessments!$C$2:$C$500,G1,Skill_Assessments!$A$2:$A$500,"&gt;="&amp;Setup!$B$4,Skill_Assessments!$A$2:$A$500,"&lt;="&amp;Setup!$B$5)/COUNTIFS(Skill_Assessments!$B$2:$B$500,$A7,Skill_Assessments!$C$2:$C$500,G1,Skill_Assessments!$A$2:$A$500,"&gt;="&amp;Setup!$B$4,Skill_Assessments!$A$2:$A$500,"&lt;="&amp;Setup!$B$5),"")</f>
        <v/>
      </c>
      <c r="H7" s="23">
        <f>IFERROR(SUMIFS(Skill_Assessments!$D$2:$D$500,Skill_Assessments!$B$2:$B$500,$A7,Skill_Assessments!$C$2:$C$500,H1,Skill_Assessments!$A$2:$A$500,"&gt;="&amp;Setup!$B$4,Skill_Assessments!$A$2:$A$500,"&lt;="&amp;Setup!$B$5)/COUNTIFS(Skill_Assessments!$B$2:$B$500,$A7,Skill_Assessments!$C$2:$C$500,H1,Skill_Assessments!$A$2:$A$500,"&gt;="&amp;Setup!$B$4,Skill_Assessments!$A$2:$A$500,"&lt;="&amp;Setup!$B$5),"")</f>
        <v/>
      </c>
      <c r="I7" s="23">
        <f>IFERROR(SUMIFS(Skill_Assessments!$D$2:$D$500,Skill_Assessments!$B$2:$B$500,$A7,Skill_Assessments!$C$2:$C$500,I1,Skill_Assessments!$A$2:$A$500,"&gt;="&amp;Setup!$B$4,Skill_Assessments!$A$2:$A$500,"&lt;="&amp;Setup!$B$5)/COUNTIFS(Skill_Assessments!$B$2:$B$500,$A7,Skill_Assessments!$C$2:$C$500,I1,Skill_Assessments!$A$2:$A$500,"&gt;="&amp;Setup!$B$4,Skill_Assessments!$A$2:$A$500,"&lt;="&amp;Setup!$B$5),"")</f>
        <v/>
      </c>
      <c r="J7" s="23">
        <f>IFERROR(SUMIFS(Skill_Assessments!$D$2:$D$500,Skill_Assessments!$B$2:$B$500,$A7,Skill_Assessments!$C$2:$C$500,J1,Skill_Assessments!$A$2:$A$500,"&gt;="&amp;Setup!$B$4,Skill_Assessments!$A$2:$A$500,"&lt;="&amp;Setup!$B$5)/COUNTIFS(Skill_Assessments!$B$2:$B$500,$A7,Skill_Assessments!$C$2:$C$500,J1,Skill_Assessments!$A$2:$A$500,"&gt;="&amp;Setup!$B$4,Skill_Assessments!$A$2:$A$500,"&lt;="&amp;Setup!$B$5),"")</f>
        <v/>
      </c>
      <c r="K7" s="23">
        <f>IFERROR(SUMPRODUCT(C7:J7,Skills_List!$D$2:$D$9)/(5*SUM(Skills_List!$D$2:$D$9))*100,"")</f>
        <v/>
      </c>
    </row>
    <row r="8">
      <c r="A8" s="3">
        <f>IF(Staff!A8&lt;&gt;"",Staff!A8,"")</f>
        <v/>
      </c>
      <c r="B8" s="3">
        <f>IF(A8&lt;&gt;"",VLOOKUP(A8,Staff!$A$2:$B$200,2,FALSE),"")</f>
        <v/>
      </c>
      <c r="C8" s="23">
        <f>IFERROR(SUMIFS(Skill_Assessments!$D$2:$D$500,Skill_Assessments!$B$2:$B$500,$A8,Skill_Assessments!$C$2:$C$500,C1,Skill_Assessments!$A$2:$A$500,"&gt;="&amp;Setup!$B$4,Skill_Assessments!$A$2:$A$500,"&lt;="&amp;Setup!$B$5)/COUNTIFS(Skill_Assessments!$B$2:$B$500,$A8,Skill_Assessments!$C$2:$C$500,C1,Skill_Assessments!$A$2:$A$500,"&gt;="&amp;Setup!$B$4,Skill_Assessments!$A$2:$A$500,"&lt;="&amp;Setup!$B$5),"")</f>
        <v/>
      </c>
      <c r="D8" s="23">
        <f>IFERROR(SUMIFS(Skill_Assessments!$D$2:$D$500,Skill_Assessments!$B$2:$B$500,$A8,Skill_Assessments!$C$2:$C$500,D1,Skill_Assessments!$A$2:$A$500,"&gt;="&amp;Setup!$B$4,Skill_Assessments!$A$2:$A$500,"&lt;="&amp;Setup!$B$5)/COUNTIFS(Skill_Assessments!$B$2:$B$500,$A8,Skill_Assessments!$C$2:$C$500,D1,Skill_Assessments!$A$2:$A$500,"&gt;="&amp;Setup!$B$4,Skill_Assessments!$A$2:$A$500,"&lt;="&amp;Setup!$B$5),"")</f>
        <v/>
      </c>
      <c r="E8" s="23">
        <f>IFERROR(SUMIFS(Skill_Assessments!$D$2:$D$500,Skill_Assessments!$B$2:$B$500,$A8,Skill_Assessments!$C$2:$C$500,E1,Skill_Assessments!$A$2:$A$500,"&gt;="&amp;Setup!$B$4,Skill_Assessments!$A$2:$A$500,"&lt;="&amp;Setup!$B$5)/COUNTIFS(Skill_Assessments!$B$2:$B$500,$A8,Skill_Assessments!$C$2:$C$500,E1,Skill_Assessments!$A$2:$A$500,"&gt;="&amp;Setup!$B$4,Skill_Assessments!$A$2:$A$500,"&lt;="&amp;Setup!$B$5),"")</f>
        <v/>
      </c>
      <c r="F8" s="23">
        <f>IFERROR(SUMIFS(Skill_Assessments!$D$2:$D$500,Skill_Assessments!$B$2:$B$500,$A8,Skill_Assessments!$C$2:$C$500,F1,Skill_Assessments!$A$2:$A$500,"&gt;="&amp;Setup!$B$4,Skill_Assessments!$A$2:$A$500,"&lt;="&amp;Setup!$B$5)/COUNTIFS(Skill_Assessments!$B$2:$B$500,$A8,Skill_Assessments!$C$2:$C$500,F1,Skill_Assessments!$A$2:$A$500,"&gt;="&amp;Setup!$B$4,Skill_Assessments!$A$2:$A$500,"&lt;="&amp;Setup!$B$5),"")</f>
        <v/>
      </c>
      <c r="G8" s="23">
        <f>IFERROR(SUMIFS(Skill_Assessments!$D$2:$D$500,Skill_Assessments!$B$2:$B$500,$A8,Skill_Assessments!$C$2:$C$500,G1,Skill_Assessments!$A$2:$A$500,"&gt;="&amp;Setup!$B$4,Skill_Assessments!$A$2:$A$500,"&lt;="&amp;Setup!$B$5)/COUNTIFS(Skill_Assessments!$B$2:$B$500,$A8,Skill_Assessments!$C$2:$C$500,G1,Skill_Assessments!$A$2:$A$500,"&gt;="&amp;Setup!$B$4,Skill_Assessments!$A$2:$A$500,"&lt;="&amp;Setup!$B$5),"")</f>
        <v/>
      </c>
      <c r="H8" s="23">
        <f>IFERROR(SUMIFS(Skill_Assessments!$D$2:$D$500,Skill_Assessments!$B$2:$B$500,$A8,Skill_Assessments!$C$2:$C$500,H1,Skill_Assessments!$A$2:$A$500,"&gt;="&amp;Setup!$B$4,Skill_Assessments!$A$2:$A$500,"&lt;="&amp;Setup!$B$5)/COUNTIFS(Skill_Assessments!$B$2:$B$500,$A8,Skill_Assessments!$C$2:$C$500,H1,Skill_Assessments!$A$2:$A$500,"&gt;="&amp;Setup!$B$4,Skill_Assessments!$A$2:$A$500,"&lt;="&amp;Setup!$B$5),"")</f>
        <v/>
      </c>
      <c r="I8" s="23">
        <f>IFERROR(SUMIFS(Skill_Assessments!$D$2:$D$500,Skill_Assessments!$B$2:$B$500,$A8,Skill_Assessments!$C$2:$C$500,I1,Skill_Assessments!$A$2:$A$500,"&gt;="&amp;Setup!$B$4,Skill_Assessments!$A$2:$A$500,"&lt;="&amp;Setup!$B$5)/COUNTIFS(Skill_Assessments!$B$2:$B$500,$A8,Skill_Assessments!$C$2:$C$500,I1,Skill_Assessments!$A$2:$A$500,"&gt;="&amp;Setup!$B$4,Skill_Assessments!$A$2:$A$500,"&lt;="&amp;Setup!$B$5),"")</f>
        <v/>
      </c>
      <c r="J8" s="23">
        <f>IFERROR(SUMIFS(Skill_Assessments!$D$2:$D$500,Skill_Assessments!$B$2:$B$500,$A8,Skill_Assessments!$C$2:$C$500,J1,Skill_Assessments!$A$2:$A$500,"&gt;="&amp;Setup!$B$4,Skill_Assessments!$A$2:$A$500,"&lt;="&amp;Setup!$B$5)/COUNTIFS(Skill_Assessments!$B$2:$B$500,$A8,Skill_Assessments!$C$2:$C$500,J1,Skill_Assessments!$A$2:$A$500,"&gt;="&amp;Setup!$B$4,Skill_Assessments!$A$2:$A$500,"&lt;="&amp;Setup!$B$5),"")</f>
        <v/>
      </c>
      <c r="K8" s="23">
        <f>IFERROR(SUMPRODUCT(C8:J8,Skills_List!$D$2:$D$9)/(5*SUM(Skills_List!$D$2:$D$9))*100,"")</f>
        <v/>
      </c>
    </row>
    <row r="9">
      <c r="A9" s="3">
        <f>IF(Staff!A9&lt;&gt;"",Staff!A9,"")</f>
        <v/>
      </c>
      <c r="B9" s="3">
        <f>IF(A9&lt;&gt;"",VLOOKUP(A9,Staff!$A$2:$B$200,2,FALSE),"")</f>
        <v/>
      </c>
      <c r="C9" s="23">
        <f>IFERROR(SUMIFS(Skill_Assessments!$D$2:$D$500,Skill_Assessments!$B$2:$B$500,$A9,Skill_Assessments!$C$2:$C$500,C1,Skill_Assessments!$A$2:$A$500,"&gt;="&amp;Setup!$B$4,Skill_Assessments!$A$2:$A$500,"&lt;="&amp;Setup!$B$5)/COUNTIFS(Skill_Assessments!$B$2:$B$500,$A9,Skill_Assessments!$C$2:$C$500,C1,Skill_Assessments!$A$2:$A$500,"&gt;="&amp;Setup!$B$4,Skill_Assessments!$A$2:$A$500,"&lt;="&amp;Setup!$B$5),"")</f>
        <v/>
      </c>
      <c r="D9" s="23">
        <f>IFERROR(SUMIFS(Skill_Assessments!$D$2:$D$500,Skill_Assessments!$B$2:$B$500,$A9,Skill_Assessments!$C$2:$C$500,D1,Skill_Assessments!$A$2:$A$500,"&gt;="&amp;Setup!$B$4,Skill_Assessments!$A$2:$A$500,"&lt;="&amp;Setup!$B$5)/COUNTIFS(Skill_Assessments!$B$2:$B$500,$A9,Skill_Assessments!$C$2:$C$500,D1,Skill_Assessments!$A$2:$A$500,"&gt;="&amp;Setup!$B$4,Skill_Assessments!$A$2:$A$500,"&lt;="&amp;Setup!$B$5),"")</f>
        <v/>
      </c>
      <c r="E9" s="23">
        <f>IFERROR(SUMIFS(Skill_Assessments!$D$2:$D$500,Skill_Assessments!$B$2:$B$500,$A9,Skill_Assessments!$C$2:$C$500,E1,Skill_Assessments!$A$2:$A$500,"&gt;="&amp;Setup!$B$4,Skill_Assessments!$A$2:$A$500,"&lt;="&amp;Setup!$B$5)/COUNTIFS(Skill_Assessments!$B$2:$B$500,$A9,Skill_Assessments!$C$2:$C$500,E1,Skill_Assessments!$A$2:$A$500,"&gt;="&amp;Setup!$B$4,Skill_Assessments!$A$2:$A$500,"&lt;="&amp;Setup!$B$5),"")</f>
        <v/>
      </c>
      <c r="F9" s="23">
        <f>IFERROR(SUMIFS(Skill_Assessments!$D$2:$D$500,Skill_Assessments!$B$2:$B$500,$A9,Skill_Assessments!$C$2:$C$500,F1,Skill_Assessments!$A$2:$A$500,"&gt;="&amp;Setup!$B$4,Skill_Assessments!$A$2:$A$500,"&lt;="&amp;Setup!$B$5)/COUNTIFS(Skill_Assessments!$B$2:$B$500,$A9,Skill_Assessments!$C$2:$C$500,F1,Skill_Assessments!$A$2:$A$500,"&gt;="&amp;Setup!$B$4,Skill_Assessments!$A$2:$A$500,"&lt;="&amp;Setup!$B$5),"")</f>
        <v/>
      </c>
      <c r="G9" s="23">
        <f>IFERROR(SUMIFS(Skill_Assessments!$D$2:$D$500,Skill_Assessments!$B$2:$B$500,$A9,Skill_Assessments!$C$2:$C$500,G1,Skill_Assessments!$A$2:$A$500,"&gt;="&amp;Setup!$B$4,Skill_Assessments!$A$2:$A$500,"&lt;="&amp;Setup!$B$5)/COUNTIFS(Skill_Assessments!$B$2:$B$500,$A9,Skill_Assessments!$C$2:$C$500,G1,Skill_Assessments!$A$2:$A$500,"&gt;="&amp;Setup!$B$4,Skill_Assessments!$A$2:$A$500,"&lt;="&amp;Setup!$B$5),"")</f>
        <v/>
      </c>
      <c r="H9" s="23">
        <f>IFERROR(SUMIFS(Skill_Assessments!$D$2:$D$500,Skill_Assessments!$B$2:$B$500,$A9,Skill_Assessments!$C$2:$C$500,H1,Skill_Assessments!$A$2:$A$500,"&gt;="&amp;Setup!$B$4,Skill_Assessments!$A$2:$A$500,"&lt;="&amp;Setup!$B$5)/COUNTIFS(Skill_Assessments!$B$2:$B$500,$A9,Skill_Assessments!$C$2:$C$500,H1,Skill_Assessments!$A$2:$A$500,"&gt;="&amp;Setup!$B$4,Skill_Assessments!$A$2:$A$500,"&lt;="&amp;Setup!$B$5),"")</f>
        <v/>
      </c>
      <c r="I9" s="23">
        <f>IFERROR(SUMIFS(Skill_Assessments!$D$2:$D$500,Skill_Assessments!$B$2:$B$500,$A9,Skill_Assessments!$C$2:$C$500,I1,Skill_Assessments!$A$2:$A$500,"&gt;="&amp;Setup!$B$4,Skill_Assessments!$A$2:$A$500,"&lt;="&amp;Setup!$B$5)/COUNTIFS(Skill_Assessments!$B$2:$B$500,$A9,Skill_Assessments!$C$2:$C$500,I1,Skill_Assessments!$A$2:$A$500,"&gt;="&amp;Setup!$B$4,Skill_Assessments!$A$2:$A$500,"&lt;="&amp;Setup!$B$5),"")</f>
        <v/>
      </c>
      <c r="J9" s="23">
        <f>IFERROR(SUMIFS(Skill_Assessments!$D$2:$D$500,Skill_Assessments!$B$2:$B$500,$A9,Skill_Assessments!$C$2:$C$500,J1,Skill_Assessments!$A$2:$A$500,"&gt;="&amp;Setup!$B$4,Skill_Assessments!$A$2:$A$500,"&lt;="&amp;Setup!$B$5)/COUNTIFS(Skill_Assessments!$B$2:$B$500,$A9,Skill_Assessments!$C$2:$C$500,J1,Skill_Assessments!$A$2:$A$500,"&gt;="&amp;Setup!$B$4,Skill_Assessments!$A$2:$A$500,"&lt;="&amp;Setup!$B$5),"")</f>
        <v/>
      </c>
      <c r="K9" s="23">
        <f>IFERROR(SUMPRODUCT(C9:J9,Skills_List!$D$2:$D$9)/(5*SUM(Skills_List!$D$2:$D$9))*100,"")</f>
        <v/>
      </c>
    </row>
    <row r="10">
      <c r="A10" s="3">
        <f>IF(Staff!A10&lt;&gt;"",Staff!A10,"")</f>
        <v/>
      </c>
      <c r="B10" s="3">
        <f>IF(A10&lt;&gt;"",VLOOKUP(A10,Staff!$A$2:$B$200,2,FALSE),"")</f>
        <v/>
      </c>
      <c r="C10" s="23">
        <f>IFERROR(SUMIFS(Skill_Assessments!$D$2:$D$500,Skill_Assessments!$B$2:$B$500,$A10,Skill_Assessments!$C$2:$C$500,C1,Skill_Assessments!$A$2:$A$500,"&gt;="&amp;Setup!$B$4,Skill_Assessments!$A$2:$A$500,"&lt;="&amp;Setup!$B$5)/COUNTIFS(Skill_Assessments!$B$2:$B$500,$A10,Skill_Assessments!$C$2:$C$500,C1,Skill_Assessments!$A$2:$A$500,"&gt;="&amp;Setup!$B$4,Skill_Assessments!$A$2:$A$500,"&lt;="&amp;Setup!$B$5),"")</f>
        <v/>
      </c>
      <c r="D10" s="23">
        <f>IFERROR(SUMIFS(Skill_Assessments!$D$2:$D$500,Skill_Assessments!$B$2:$B$500,$A10,Skill_Assessments!$C$2:$C$500,D1,Skill_Assessments!$A$2:$A$500,"&gt;="&amp;Setup!$B$4,Skill_Assessments!$A$2:$A$500,"&lt;="&amp;Setup!$B$5)/COUNTIFS(Skill_Assessments!$B$2:$B$500,$A10,Skill_Assessments!$C$2:$C$500,D1,Skill_Assessments!$A$2:$A$500,"&gt;="&amp;Setup!$B$4,Skill_Assessments!$A$2:$A$500,"&lt;="&amp;Setup!$B$5),"")</f>
        <v/>
      </c>
      <c r="E10" s="23">
        <f>IFERROR(SUMIFS(Skill_Assessments!$D$2:$D$500,Skill_Assessments!$B$2:$B$500,$A10,Skill_Assessments!$C$2:$C$500,E1,Skill_Assessments!$A$2:$A$500,"&gt;="&amp;Setup!$B$4,Skill_Assessments!$A$2:$A$500,"&lt;="&amp;Setup!$B$5)/COUNTIFS(Skill_Assessments!$B$2:$B$500,$A10,Skill_Assessments!$C$2:$C$500,E1,Skill_Assessments!$A$2:$A$500,"&gt;="&amp;Setup!$B$4,Skill_Assessments!$A$2:$A$500,"&lt;="&amp;Setup!$B$5),"")</f>
        <v/>
      </c>
      <c r="F10" s="23">
        <f>IFERROR(SUMIFS(Skill_Assessments!$D$2:$D$500,Skill_Assessments!$B$2:$B$500,$A10,Skill_Assessments!$C$2:$C$500,F1,Skill_Assessments!$A$2:$A$500,"&gt;="&amp;Setup!$B$4,Skill_Assessments!$A$2:$A$500,"&lt;="&amp;Setup!$B$5)/COUNTIFS(Skill_Assessments!$B$2:$B$500,$A10,Skill_Assessments!$C$2:$C$500,F1,Skill_Assessments!$A$2:$A$500,"&gt;="&amp;Setup!$B$4,Skill_Assessments!$A$2:$A$500,"&lt;="&amp;Setup!$B$5),"")</f>
        <v/>
      </c>
      <c r="G10" s="23">
        <f>IFERROR(SUMIFS(Skill_Assessments!$D$2:$D$500,Skill_Assessments!$B$2:$B$500,$A10,Skill_Assessments!$C$2:$C$500,G1,Skill_Assessments!$A$2:$A$500,"&gt;="&amp;Setup!$B$4,Skill_Assessments!$A$2:$A$500,"&lt;="&amp;Setup!$B$5)/COUNTIFS(Skill_Assessments!$B$2:$B$500,$A10,Skill_Assessments!$C$2:$C$500,G1,Skill_Assessments!$A$2:$A$500,"&gt;="&amp;Setup!$B$4,Skill_Assessments!$A$2:$A$500,"&lt;="&amp;Setup!$B$5),"")</f>
        <v/>
      </c>
      <c r="H10" s="23">
        <f>IFERROR(SUMIFS(Skill_Assessments!$D$2:$D$500,Skill_Assessments!$B$2:$B$500,$A10,Skill_Assessments!$C$2:$C$500,H1,Skill_Assessments!$A$2:$A$500,"&gt;="&amp;Setup!$B$4,Skill_Assessments!$A$2:$A$500,"&lt;="&amp;Setup!$B$5)/COUNTIFS(Skill_Assessments!$B$2:$B$500,$A10,Skill_Assessments!$C$2:$C$500,H1,Skill_Assessments!$A$2:$A$500,"&gt;="&amp;Setup!$B$4,Skill_Assessments!$A$2:$A$500,"&lt;="&amp;Setup!$B$5),"")</f>
        <v/>
      </c>
      <c r="I10" s="23">
        <f>IFERROR(SUMIFS(Skill_Assessments!$D$2:$D$500,Skill_Assessments!$B$2:$B$500,$A10,Skill_Assessments!$C$2:$C$500,I1,Skill_Assessments!$A$2:$A$500,"&gt;="&amp;Setup!$B$4,Skill_Assessments!$A$2:$A$500,"&lt;="&amp;Setup!$B$5)/COUNTIFS(Skill_Assessments!$B$2:$B$500,$A10,Skill_Assessments!$C$2:$C$500,I1,Skill_Assessments!$A$2:$A$500,"&gt;="&amp;Setup!$B$4,Skill_Assessments!$A$2:$A$500,"&lt;="&amp;Setup!$B$5),"")</f>
        <v/>
      </c>
      <c r="J10" s="23">
        <f>IFERROR(SUMIFS(Skill_Assessments!$D$2:$D$500,Skill_Assessments!$B$2:$B$500,$A10,Skill_Assessments!$C$2:$C$500,J1,Skill_Assessments!$A$2:$A$500,"&gt;="&amp;Setup!$B$4,Skill_Assessments!$A$2:$A$500,"&lt;="&amp;Setup!$B$5)/COUNTIFS(Skill_Assessments!$B$2:$B$500,$A10,Skill_Assessments!$C$2:$C$500,J1,Skill_Assessments!$A$2:$A$500,"&gt;="&amp;Setup!$B$4,Skill_Assessments!$A$2:$A$500,"&lt;="&amp;Setup!$B$5),"")</f>
        <v/>
      </c>
      <c r="K10" s="23">
        <f>IFERROR(SUMPRODUCT(C10:J10,Skills_List!$D$2:$D$9)/(5*SUM(Skills_List!$D$2:$D$9))*100,"")</f>
        <v/>
      </c>
    </row>
    <row r="11">
      <c r="A11" s="3">
        <f>IF(Staff!A11&lt;&gt;"",Staff!A11,"")</f>
        <v/>
      </c>
      <c r="B11" s="3">
        <f>IF(A11&lt;&gt;"",VLOOKUP(A11,Staff!$A$2:$B$200,2,FALSE),"")</f>
        <v/>
      </c>
      <c r="C11" s="23">
        <f>IFERROR(SUMIFS(Skill_Assessments!$D$2:$D$500,Skill_Assessments!$B$2:$B$500,$A11,Skill_Assessments!$C$2:$C$500,C1,Skill_Assessments!$A$2:$A$500,"&gt;="&amp;Setup!$B$4,Skill_Assessments!$A$2:$A$500,"&lt;="&amp;Setup!$B$5)/COUNTIFS(Skill_Assessments!$B$2:$B$500,$A11,Skill_Assessments!$C$2:$C$500,C1,Skill_Assessments!$A$2:$A$500,"&gt;="&amp;Setup!$B$4,Skill_Assessments!$A$2:$A$500,"&lt;="&amp;Setup!$B$5),"")</f>
        <v/>
      </c>
      <c r="D11" s="23">
        <f>IFERROR(SUMIFS(Skill_Assessments!$D$2:$D$500,Skill_Assessments!$B$2:$B$500,$A11,Skill_Assessments!$C$2:$C$500,D1,Skill_Assessments!$A$2:$A$500,"&gt;="&amp;Setup!$B$4,Skill_Assessments!$A$2:$A$500,"&lt;="&amp;Setup!$B$5)/COUNTIFS(Skill_Assessments!$B$2:$B$500,$A11,Skill_Assessments!$C$2:$C$500,D1,Skill_Assessments!$A$2:$A$500,"&gt;="&amp;Setup!$B$4,Skill_Assessments!$A$2:$A$500,"&lt;="&amp;Setup!$B$5),"")</f>
        <v/>
      </c>
      <c r="E11" s="23">
        <f>IFERROR(SUMIFS(Skill_Assessments!$D$2:$D$500,Skill_Assessments!$B$2:$B$500,$A11,Skill_Assessments!$C$2:$C$500,E1,Skill_Assessments!$A$2:$A$500,"&gt;="&amp;Setup!$B$4,Skill_Assessments!$A$2:$A$500,"&lt;="&amp;Setup!$B$5)/COUNTIFS(Skill_Assessments!$B$2:$B$500,$A11,Skill_Assessments!$C$2:$C$500,E1,Skill_Assessments!$A$2:$A$500,"&gt;="&amp;Setup!$B$4,Skill_Assessments!$A$2:$A$500,"&lt;="&amp;Setup!$B$5),"")</f>
        <v/>
      </c>
      <c r="F11" s="23">
        <f>IFERROR(SUMIFS(Skill_Assessments!$D$2:$D$500,Skill_Assessments!$B$2:$B$500,$A11,Skill_Assessments!$C$2:$C$500,F1,Skill_Assessments!$A$2:$A$500,"&gt;="&amp;Setup!$B$4,Skill_Assessments!$A$2:$A$500,"&lt;="&amp;Setup!$B$5)/COUNTIFS(Skill_Assessments!$B$2:$B$500,$A11,Skill_Assessments!$C$2:$C$500,F1,Skill_Assessments!$A$2:$A$500,"&gt;="&amp;Setup!$B$4,Skill_Assessments!$A$2:$A$500,"&lt;="&amp;Setup!$B$5),"")</f>
        <v/>
      </c>
      <c r="G11" s="23">
        <f>IFERROR(SUMIFS(Skill_Assessments!$D$2:$D$500,Skill_Assessments!$B$2:$B$500,$A11,Skill_Assessments!$C$2:$C$500,G1,Skill_Assessments!$A$2:$A$500,"&gt;="&amp;Setup!$B$4,Skill_Assessments!$A$2:$A$500,"&lt;="&amp;Setup!$B$5)/COUNTIFS(Skill_Assessments!$B$2:$B$500,$A11,Skill_Assessments!$C$2:$C$500,G1,Skill_Assessments!$A$2:$A$500,"&gt;="&amp;Setup!$B$4,Skill_Assessments!$A$2:$A$500,"&lt;="&amp;Setup!$B$5),"")</f>
        <v/>
      </c>
      <c r="H11" s="23">
        <f>IFERROR(SUMIFS(Skill_Assessments!$D$2:$D$500,Skill_Assessments!$B$2:$B$500,$A11,Skill_Assessments!$C$2:$C$500,H1,Skill_Assessments!$A$2:$A$500,"&gt;="&amp;Setup!$B$4,Skill_Assessments!$A$2:$A$500,"&lt;="&amp;Setup!$B$5)/COUNTIFS(Skill_Assessments!$B$2:$B$500,$A11,Skill_Assessments!$C$2:$C$500,H1,Skill_Assessments!$A$2:$A$500,"&gt;="&amp;Setup!$B$4,Skill_Assessments!$A$2:$A$500,"&lt;="&amp;Setup!$B$5),"")</f>
        <v/>
      </c>
      <c r="I11" s="23">
        <f>IFERROR(SUMIFS(Skill_Assessments!$D$2:$D$500,Skill_Assessments!$B$2:$B$500,$A11,Skill_Assessments!$C$2:$C$500,I1,Skill_Assessments!$A$2:$A$500,"&gt;="&amp;Setup!$B$4,Skill_Assessments!$A$2:$A$500,"&lt;="&amp;Setup!$B$5)/COUNTIFS(Skill_Assessments!$B$2:$B$500,$A11,Skill_Assessments!$C$2:$C$500,I1,Skill_Assessments!$A$2:$A$500,"&gt;="&amp;Setup!$B$4,Skill_Assessments!$A$2:$A$500,"&lt;="&amp;Setup!$B$5),"")</f>
        <v/>
      </c>
      <c r="J11" s="23">
        <f>IFERROR(SUMIFS(Skill_Assessments!$D$2:$D$500,Skill_Assessments!$B$2:$B$500,$A11,Skill_Assessments!$C$2:$C$500,J1,Skill_Assessments!$A$2:$A$500,"&gt;="&amp;Setup!$B$4,Skill_Assessments!$A$2:$A$500,"&lt;="&amp;Setup!$B$5)/COUNTIFS(Skill_Assessments!$B$2:$B$500,$A11,Skill_Assessments!$C$2:$C$500,J1,Skill_Assessments!$A$2:$A$500,"&gt;="&amp;Setup!$B$4,Skill_Assessments!$A$2:$A$500,"&lt;="&amp;Setup!$B$5),"")</f>
        <v/>
      </c>
      <c r="K11" s="23">
        <f>IFERROR(SUMPRODUCT(C11:J11,Skills_List!$D$2:$D$9)/(5*SUM(Skills_List!$D$2:$D$9))*100,"")</f>
        <v/>
      </c>
    </row>
    <row r="12">
      <c r="A12" s="3">
        <f>IF(Staff!A12&lt;&gt;"",Staff!A12,"")</f>
        <v/>
      </c>
      <c r="B12" s="3">
        <f>IF(A12&lt;&gt;"",VLOOKUP(A12,Staff!$A$2:$B$200,2,FALSE),"")</f>
        <v/>
      </c>
      <c r="C12" s="23">
        <f>IFERROR(SUMIFS(Skill_Assessments!$D$2:$D$500,Skill_Assessments!$B$2:$B$500,$A12,Skill_Assessments!$C$2:$C$500,C1,Skill_Assessments!$A$2:$A$500,"&gt;="&amp;Setup!$B$4,Skill_Assessments!$A$2:$A$500,"&lt;="&amp;Setup!$B$5)/COUNTIFS(Skill_Assessments!$B$2:$B$500,$A12,Skill_Assessments!$C$2:$C$500,C1,Skill_Assessments!$A$2:$A$500,"&gt;="&amp;Setup!$B$4,Skill_Assessments!$A$2:$A$500,"&lt;="&amp;Setup!$B$5),"")</f>
        <v/>
      </c>
      <c r="D12" s="23">
        <f>IFERROR(SUMIFS(Skill_Assessments!$D$2:$D$500,Skill_Assessments!$B$2:$B$500,$A12,Skill_Assessments!$C$2:$C$500,D1,Skill_Assessments!$A$2:$A$500,"&gt;="&amp;Setup!$B$4,Skill_Assessments!$A$2:$A$500,"&lt;="&amp;Setup!$B$5)/COUNTIFS(Skill_Assessments!$B$2:$B$500,$A12,Skill_Assessments!$C$2:$C$500,D1,Skill_Assessments!$A$2:$A$500,"&gt;="&amp;Setup!$B$4,Skill_Assessments!$A$2:$A$500,"&lt;="&amp;Setup!$B$5),"")</f>
        <v/>
      </c>
      <c r="E12" s="23">
        <f>IFERROR(SUMIFS(Skill_Assessments!$D$2:$D$500,Skill_Assessments!$B$2:$B$500,$A12,Skill_Assessments!$C$2:$C$500,E1,Skill_Assessments!$A$2:$A$500,"&gt;="&amp;Setup!$B$4,Skill_Assessments!$A$2:$A$500,"&lt;="&amp;Setup!$B$5)/COUNTIFS(Skill_Assessments!$B$2:$B$500,$A12,Skill_Assessments!$C$2:$C$500,E1,Skill_Assessments!$A$2:$A$500,"&gt;="&amp;Setup!$B$4,Skill_Assessments!$A$2:$A$500,"&lt;="&amp;Setup!$B$5),"")</f>
        <v/>
      </c>
      <c r="F12" s="23">
        <f>IFERROR(SUMIFS(Skill_Assessments!$D$2:$D$500,Skill_Assessments!$B$2:$B$500,$A12,Skill_Assessments!$C$2:$C$500,F1,Skill_Assessments!$A$2:$A$500,"&gt;="&amp;Setup!$B$4,Skill_Assessments!$A$2:$A$500,"&lt;="&amp;Setup!$B$5)/COUNTIFS(Skill_Assessments!$B$2:$B$500,$A12,Skill_Assessments!$C$2:$C$500,F1,Skill_Assessments!$A$2:$A$500,"&gt;="&amp;Setup!$B$4,Skill_Assessments!$A$2:$A$500,"&lt;="&amp;Setup!$B$5),"")</f>
        <v/>
      </c>
      <c r="G12" s="23">
        <f>IFERROR(SUMIFS(Skill_Assessments!$D$2:$D$500,Skill_Assessments!$B$2:$B$500,$A12,Skill_Assessments!$C$2:$C$500,G1,Skill_Assessments!$A$2:$A$500,"&gt;="&amp;Setup!$B$4,Skill_Assessments!$A$2:$A$500,"&lt;="&amp;Setup!$B$5)/COUNTIFS(Skill_Assessments!$B$2:$B$500,$A12,Skill_Assessments!$C$2:$C$500,G1,Skill_Assessments!$A$2:$A$500,"&gt;="&amp;Setup!$B$4,Skill_Assessments!$A$2:$A$500,"&lt;="&amp;Setup!$B$5),"")</f>
        <v/>
      </c>
      <c r="H12" s="23">
        <f>IFERROR(SUMIFS(Skill_Assessments!$D$2:$D$500,Skill_Assessments!$B$2:$B$500,$A12,Skill_Assessments!$C$2:$C$500,H1,Skill_Assessments!$A$2:$A$500,"&gt;="&amp;Setup!$B$4,Skill_Assessments!$A$2:$A$500,"&lt;="&amp;Setup!$B$5)/COUNTIFS(Skill_Assessments!$B$2:$B$500,$A12,Skill_Assessments!$C$2:$C$500,H1,Skill_Assessments!$A$2:$A$500,"&gt;="&amp;Setup!$B$4,Skill_Assessments!$A$2:$A$500,"&lt;="&amp;Setup!$B$5),"")</f>
        <v/>
      </c>
      <c r="I12" s="23">
        <f>IFERROR(SUMIFS(Skill_Assessments!$D$2:$D$500,Skill_Assessments!$B$2:$B$500,$A12,Skill_Assessments!$C$2:$C$500,I1,Skill_Assessments!$A$2:$A$500,"&gt;="&amp;Setup!$B$4,Skill_Assessments!$A$2:$A$500,"&lt;="&amp;Setup!$B$5)/COUNTIFS(Skill_Assessments!$B$2:$B$500,$A12,Skill_Assessments!$C$2:$C$500,I1,Skill_Assessments!$A$2:$A$500,"&gt;="&amp;Setup!$B$4,Skill_Assessments!$A$2:$A$500,"&lt;="&amp;Setup!$B$5),"")</f>
        <v/>
      </c>
      <c r="J12" s="23">
        <f>IFERROR(SUMIFS(Skill_Assessments!$D$2:$D$500,Skill_Assessments!$B$2:$B$500,$A12,Skill_Assessments!$C$2:$C$500,J1,Skill_Assessments!$A$2:$A$500,"&gt;="&amp;Setup!$B$4,Skill_Assessments!$A$2:$A$500,"&lt;="&amp;Setup!$B$5)/COUNTIFS(Skill_Assessments!$B$2:$B$500,$A12,Skill_Assessments!$C$2:$C$500,J1,Skill_Assessments!$A$2:$A$500,"&gt;="&amp;Setup!$B$4,Skill_Assessments!$A$2:$A$500,"&lt;="&amp;Setup!$B$5),"")</f>
        <v/>
      </c>
      <c r="K12" s="23">
        <f>IFERROR(SUMPRODUCT(C12:J12,Skills_List!$D$2:$D$9)/(5*SUM(Skills_List!$D$2:$D$9))*100,"")</f>
        <v/>
      </c>
    </row>
    <row r="13">
      <c r="A13" s="3">
        <f>IF(Staff!A13&lt;&gt;"",Staff!A13,"")</f>
        <v/>
      </c>
      <c r="B13" s="3">
        <f>IF(A13&lt;&gt;"",VLOOKUP(A13,Staff!$A$2:$B$200,2,FALSE),"")</f>
        <v/>
      </c>
      <c r="C13" s="23">
        <f>IFERROR(SUMIFS(Skill_Assessments!$D$2:$D$500,Skill_Assessments!$B$2:$B$500,$A13,Skill_Assessments!$C$2:$C$500,C1,Skill_Assessments!$A$2:$A$500,"&gt;="&amp;Setup!$B$4,Skill_Assessments!$A$2:$A$500,"&lt;="&amp;Setup!$B$5)/COUNTIFS(Skill_Assessments!$B$2:$B$500,$A13,Skill_Assessments!$C$2:$C$500,C1,Skill_Assessments!$A$2:$A$500,"&gt;="&amp;Setup!$B$4,Skill_Assessments!$A$2:$A$500,"&lt;="&amp;Setup!$B$5),"")</f>
        <v/>
      </c>
      <c r="D13" s="23">
        <f>IFERROR(SUMIFS(Skill_Assessments!$D$2:$D$500,Skill_Assessments!$B$2:$B$500,$A13,Skill_Assessments!$C$2:$C$500,D1,Skill_Assessments!$A$2:$A$500,"&gt;="&amp;Setup!$B$4,Skill_Assessments!$A$2:$A$500,"&lt;="&amp;Setup!$B$5)/COUNTIFS(Skill_Assessments!$B$2:$B$500,$A13,Skill_Assessments!$C$2:$C$500,D1,Skill_Assessments!$A$2:$A$500,"&gt;="&amp;Setup!$B$4,Skill_Assessments!$A$2:$A$500,"&lt;="&amp;Setup!$B$5),"")</f>
        <v/>
      </c>
      <c r="E13" s="23">
        <f>IFERROR(SUMIFS(Skill_Assessments!$D$2:$D$500,Skill_Assessments!$B$2:$B$500,$A13,Skill_Assessments!$C$2:$C$500,E1,Skill_Assessments!$A$2:$A$500,"&gt;="&amp;Setup!$B$4,Skill_Assessments!$A$2:$A$500,"&lt;="&amp;Setup!$B$5)/COUNTIFS(Skill_Assessments!$B$2:$B$500,$A13,Skill_Assessments!$C$2:$C$500,E1,Skill_Assessments!$A$2:$A$500,"&gt;="&amp;Setup!$B$4,Skill_Assessments!$A$2:$A$500,"&lt;="&amp;Setup!$B$5),"")</f>
        <v/>
      </c>
      <c r="F13" s="23">
        <f>IFERROR(SUMIFS(Skill_Assessments!$D$2:$D$500,Skill_Assessments!$B$2:$B$500,$A13,Skill_Assessments!$C$2:$C$500,F1,Skill_Assessments!$A$2:$A$500,"&gt;="&amp;Setup!$B$4,Skill_Assessments!$A$2:$A$500,"&lt;="&amp;Setup!$B$5)/COUNTIFS(Skill_Assessments!$B$2:$B$500,$A13,Skill_Assessments!$C$2:$C$500,F1,Skill_Assessments!$A$2:$A$500,"&gt;="&amp;Setup!$B$4,Skill_Assessments!$A$2:$A$500,"&lt;="&amp;Setup!$B$5),"")</f>
        <v/>
      </c>
      <c r="G13" s="23">
        <f>IFERROR(SUMIFS(Skill_Assessments!$D$2:$D$500,Skill_Assessments!$B$2:$B$500,$A13,Skill_Assessments!$C$2:$C$500,G1,Skill_Assessments!$A$2:$A$500,"&gt;="&amp;Setup!$B$4,Skill_Assessments!$A$2:$A$500,"&lt;="&amp;Setup!$B$5)/COUNTIFS(Skill_Assessments!$B$2:$B$500,$A13,Skill_Assessments!$C$2:$C$500,G1,Skill_Assessments!$A$2:$A$500,"&gt;="&amp;Setup!$B$4,Skill_Assessments!$A$2:$A$500,"&lt;="&amp;Setup!$B$5),"")</f>
        <v/>
      </c>
      <c r="H13" s="23">
        <f>IFERROR(SUMIFS(Skill_Assessments!$D$2:$D$500,Skill_Assessments!$B$2:$B$500,$A13,Skill_Assessments!$C$2:$C$500,H1,Skill_Assessments!$A$2:$A$500,"&gt;="&amp;Setup!$B$4,Skill_Assessments!$A$2:$A$500,"&lt;="&amp;Setup!$B$5)/COUNTIFS(Skill_Assessments!$B$2:$B$500,$A13,Skill_Assessments!$C$2:$C$500,H1,Skill_Assessments!$A$2:$A$500,"&gt;="&amp;Setup!$B$4,Skill_Assessments!$A$2:$A$500,"&lt;="&amp;Setup!$B$5),"")</f>
        <v/>
      </c>
      <c r="I13" s="23">
        <f>IFERROR(SUMIFS(Skill_Assessments!$D$2:$D$500,Skill_Assessments!$B$2:$B$500,$A13,Skill_Assessments!$C$2:$C$500,I1,Skill_Assessments!$A$2:$A$500,"&gt;="&amp;Setup!$B$4,Skill_Assessments!$A$2:$A$500,"&lt;="&amp;Setup!$B$5)/COUNTIFS(Skill_Assessments!$B$2:$B$500,$A13,Skill_Assessments!$C$2:$C$500,I1,Skill_Assessments!$A$2:$A$500,"&gt;="&amp;Setup!$B$4,Skill_Assessments!$A$2:$A$500,"&lt;="&amp;Setup!$B$5),"")</f>
        <v/>
      </c>
      <c r="J13" s="23">
        <f>IFERROR(SUMIFS(Skill_Assessments!$D$2:$D$500,Skill_Assessments!$B$2:$B$500,$A13,Skill_Assessments!$C$2:$C$500,J1,Skill_Assessments!$A$2:$A$500,"&gt;="&amp;Setup!$B$4,Skill_Assessments!$A$2:$A$500,"&lt;="&amp;Setup!$B$5)/COUNTIFS(Skill_Assessments!$B$2:$B$500,$A13,Skill_Assessments!$C$2:$C$500,J1,Skill_Assessments!$A$2:$A$500,"&gt;="&amp;Setup!$B$4,Skill_Assessments!$A$2:$A$500,"&lt;="&amp;Setup!$B$5),"")</f>
        <v/>
      </c>
      <c r="K13" s="23">
        <f>IFERROR(SUMPRODUCT(C13:J13,Skills_List!$D$2:$D$9)/(5*SUM(Skills_List!$D$2:$D$9))*100,"")</f>
        <v/>
      </c>
    </row>
    <row r="14">
      <c r="A14" s="3">
        <f>IF(Staff!A14&lt;&gt;"",Staff!A14,"")</f>
        <v/>
      </c>
      <c r="B14" s="3">
        <f>IF(A14&lt;&gt;"",VLOOKUP(A14,Staff!$A$2:$B$200,2,FALSE),"")</f>
        <v/>
      </c>
      <c r="C14" s="23">
        <f>IFERROR(SUMIFS(Skill_Assessments!$D$2:$D$500,Skill_Assessments!$B$2:$B$500,$A14,Skill_Assessments!$C$2:$C$500,C1,Skill_Assessments!$A$2:$A$500,"&gt;="&amp;Setup!$B$4,Skill_Assessments!$A$2:$A$500,"&lt;="&amp;Setup!$B$5)/COUNTIFS(Skill_Assessments!$B$2:$B$500,$A14,Skill_Assessments!$C$2:$C$500,C1,Skill_Assessments!$A$2:$A$500,"&gt;="&amp;Setup!$B$4,Skill_Assessments!$A$2:$A$500,"&lt;="&amp;Setup!$B$5),"")</f>
        <v/>
      </c>
      <c r="D14" s="23">
        <f>IFERROR(SUMIFS(Skill_Assessments!$D$2:$D$500,Skill_Assessments!$B$2:$B$500,$A14,Skill_Assessments!$C$2:$C$500,D1,Skill_Assessments!$A$2:$A$500,"&gt;="&amp;Setup!$B$4,Skill_Assessments!$A$2:$A$500,"&lt;="&amp;Setup!$B$5)/COUNTIFS(Skill_Assessments!$B$2:$B$500,$A14,Skill_Assessments!$C$2:$C$500,D1,Skill_Assessments!$A$2:$A$500,"&gt;="&amp;Setup!$B$4,Skill_Assessments!$A$2:$A$500,"&lt;="&amp;Setup!$B$5),"")</f>
        <v/>
      </c>
      <c r="E14" s="23">
        <f>IFERROR(SUMIFS(Skill_Assessments!$D$2:$D$500,Skill_Assessments!$B$2:$B$500,$A14,Skill_Assessments!$C$2:$C$500,E1,Skill_Assessments!$A$2:$A$500,"&gt;="&amp;Setup!$B$4,Skill_Assessments!$A$2:$A$500,"&lt;="&amp;Setup!$B$5)/COUNTIFS(Skill_Assessments!$B$2:$B$500,$A14,Skill_Assessments!$C$2:$C$500,E1,Skill_Assessments!$A$2:$A$500,"&gt;="&amp;Setup!$B$4,Skill_Assessments!$A$2:$A$500,"&lt;="&amp;Setup!$B$5),"")</f>
        <v/>
      </c>
      <c r="F14" s="23">
        <f>IFERROR(SUMIFS(Skill_Assessments!$D$2:$D$500,Skill_Assessments!$B$2:$B$500,$A14,Skill_Assessments!$C$2:$C$500,F1,Skill_Assessments!$A$2:$A$500,"&gt;="&amp;Setup!$B$4,Skill_Assessments!$A$2:$A$500,"&lt;="&amp;Setup!$B$5)/COUNTIFS(Skill_Assessments!$B$2:$B$500,$A14,Skill_Assessments!$C$2:$C$500,F1,Skill_Assessments!$A$2:$A$500,"&gt;="&amp;Setup!$B$4,Skill_Assessments!$A$2:$A$500,"&lt;="&amp;Setup!$B$5),"")</f>
        <v/>
      </c>
      <c r="G14" s="23">
        <f>IFERROR(SUMIFS(Skill_Assessments!$D$2:$D$500,Skill_Assessments!$B$2:$B$500,$A14,Skill_Assessments!$C$2:$C$500,G1,Skill_Assessments!$A$2:$A$500,"&gt;="&amp;Setup!$B$4,Skill_Assessments!$A$2:$A$500,"&lt;="&amp;Setup!$B$5)/COUNTIFS(Skill_Assessments!$B$2:$B$500,$A14,Skill_Assessments!$C$2:$C$500,G1,Skill_Assessments!$A$2:$A$500,"&gt;="&amp;Setup!$B$4,Skill_Assessments!$A$2:$A$500,"&lt;="&amp;Setup!$B$5),"")</f>
        <v/>
      </c>
      <c r="H14" s="23">
        <f>IFERROR(SUMIFS(Skill_Assessments!$D$2:$D$500,Skill_Assessments!$B$2:$B$500,$A14,Skill_Assessments!$C$2:$C$500,H1,Skill_Assessments!$A$2:$A$500,"&gt;="&amp;Setup!$B$4,Skill_Assessments!$A$2:$A$500,"&lt;="&amp;Setup!$B$5)/COUNTIFS(Skill_Assessments!$B$2:$B$500,$A14,Skill_Assessments!$C$2:$C$500,H1,Skill_Assessments!$A$2:$A$500,"&gt;="&amp;Setup!$B$4,Skill_Assessments!$A$2:$A$500,"&lt;="&amp;Setup!$B$5),"")</f>
        <v/>
      </c>
      <c r="I14" s="23">
        <f>IFERROR(SUMIFS(Skill_Assessments!$D$2:$D$500,Skill_Assessments!$B$2:$B$500,$A14,Skill_Assessments!$C$2:$C$500,I1,Skill_Assessments!$A$2:$A$500,"&gt;="&amp;Setup!$B$4,Skill_Assessments!$A$2:$A$500,"&lt;="&amp;Setup!$B$5)/COUNTIFS(Skill_Assessments!$B$2:$B$500,$A14,Skill_Assessments!$C$2:$C$500,I1,Skill_Assessments!$A$2:$A$500,"&gt;="&amp;Setup!$B$4,Skill_Assessments!$A$2:$A$500,"&lt;="&amp;Setup!$B$5),"")</f>
        <v/>
      </c>
      <c r="J14" s="23">
        <f>IFERROR(SUMIFS(Skill_Assessments!$D$2:$D$500,Skill_Assessments!$B$2:$B$500,$A14,Skill_Assessments!$C$2:$C$500,J1,Skill_Assessments!$A$2:$A$500,"&gt;="&amp;Setup!$B$4,Skill_Assessments!$A$2:$A$500,"&lt;="&amp;Setup!$B$5)/COUNTIFS(Skill_Assessments!$B$2:$B$500,$A14,Skill_Assessments!$C$2:$C$500,J1,Skill_Assessments!$A$2:$A$500,"&gt;="&amp;Setup!$B$4,Skill_Assessments!$A$2:$A$500,"&lt;="&amp;Setup!$B$5),"")</f>
        <v/>
      </c>
      <c r="K14" s="23">
        <f>IFERROR(SUMPRODUCT(C14:J14,Skills_List!$D$2:$D$9)/(5*SUM(Skills_List!$D$2:$D$9))*100,"")</f>
        <v/>
      </c>
    </row>
    <row r="15">
      <c r="A15" s="3">
        <f>IF(Staff!A15&lt;&gt;"",Staff!A15,"")</f>
        <v/>
      </c>
      <c r="B15" s="3">
        <f>IF(A15&lt;&gt;"",VLOOKUP(A15,Staff!$A$2:$B$200,2,FALSE),"")</f>
        <v/>
      </c>
      <c r="C15" s="23">
        <f>IFERROR(SUMIFS(Skill_Assessments!$D$2:$D$500,Skill_Assessments!$B$2:$B$500,$A15,Skill_Assessments!$C$2:$C$500,C1,Skill_Assessments!$A$2:$A$500,"&gt;="&amp;Setup!$B$4,Skill_Assessments!$A$2:$A$500,"&lt;="&amp;Setup!$B$5)/COUNTIFS(Skill_Assessments!$B$2:$B$500,$A15,Skill_Assessments!$C$2:$C$500,C1,Skill_Assessments!$A$2:$A$500,"&gt;="&amp;Setup!$B$4,Skill_Assessments!$A$2:$A$500,"&lt;="&amp;Setup!$B$5),"")</f>
        <v/>
      </c>
      <c r="D15" s="23">
        <f>IFERROR(SUMIFS(Skill_Assessments!$D$2:$D$500,Skill_Assessments!$B$2:$B$500,$A15,Skill_Assessments!$C$2:$C$500,D1,Skill_Assessments!$A$2:$A$500,"&gt;="&amp;Setup!$B$4,Skill_Assessments!$A$2:$A$500,"&lt;="&amp;Setup!$B$5)/COUNTIFS(Skill_Assessments!$B$2:$B$500,$A15,Skill_Assessments!$C$2:$C$500,D1,Skill_Assessments!$A$2:$A$500,"&gt;="&amp;Setup!$B$4,Skill_Assessments!$A$2:$A$500,"&lt;="&amp;Setup!$B$5),"")</f>
        <v/>
      </c>
      <c r="E15" s="23">
        <f>IFERROR(SUMIFS(Skill_Assessments!$D$2:$D$500,Skill_Assessments!$B$2:$B$500,$A15,Skill_Assessments!$C$2:$C$500,E1,Skill_Assessments!$A$2:$A$500,"&gt;="&amp;Setup!$B$4,Skill_Assessments!$A$2:$A$500,"&lt;="&amp;Setup!$B$5)/COUNTIFS(Skill_Assessments!$B$2:$B$500,$A15,Skill_Assessments!$C$2:$C$500,E1,Skill_Assessments!$A$2:$A$500,"&gt;="&amp;Setup!$B$4,Skill_Assessments!$A$2:$A$500,"&lt;="&amp;Setup!$B$5),"")</f>
        <v/>
      </c>
      <c r="F15" s="23">
        <f>IFERROR(SUMIFS(Skill_Assessments!$D$2:$D$500,Skill_Assessments!$B$2:$B$500,$A15,Skill_Assessments!$C$2:$C$500,F1,Skill_Assessments!$A$2:$A$500,"&gt;="&amp;Setup!$B$4,Skill_Assessments!$A$2:$A$500,"&lt;="&amp;Setup!$B$5)/COUNTIFS(Skill_Assessments!$B$2:$B$500,$A15,Skill_Assessments!$C$2:$C$500,F1,Skill_Assessments!$A$2:$A$500,"&gt;="&amp;Setup!$B$4,Skill_Assessments!$A$2:$A$500,"&lt;="&amp;Setup!$B$5),"")</f>
        <v/>
      </c>
      <c r="G15" s="23">
        <f>IFERROR(SUMIFS(Skill_Assessments!$D$2:$D$500,Skill_Assessments!$B$2:$B$500,$A15,Skill_Assessments!$C$2:$C$500,G1,Skill_Assessments!$A$2:$A$500,"&gt;="&amp;Setup!$B$4,Skill_Assessments!$A$2:$A$500,"&lt;="&amp;Setup!$B$5)/COUNTIFS(Skill_Assessments!$B$2:$B$500,$A15,Skill_Assessments!$C$2:$C$500,G1,Skill_Assessments!$A$2:$A$500,"&gt;="&amp;Setup!$B$4,Skill_Assessments!$A$2:$A$500,"&lt;="&amp;Setup!$B$5),"")</f>
        <v/>
      </c>
      <c r="H15" s="23">
        <f>IFERROR(SUMIFS(Skill_Assessments!$D$2:$D$500,Skill_Assessments!$B$2:$B$500,$A15,Skill_Assessments!$C$2:$C$500,H1,Skill_Assessments!$A$2:$A$500,"&gt;="&amp;Setup!$B$4,Skill_Assessments!$A$2:$A$500,"&lt;="&amp;Setup!$B$5)/COUNTIFS(Skill_Assessments!$B$2:$B$500,$A15,Skill_Assessments!$C$2:$C$500,H1,Skill_Assessments!$A$2:$A$500,"&gt;="&amp;Setup!$B$4,Skill_Assessments!$A$2:$A$500,"&lt;="&amp;Setup!$B$5),"")</f>
        <v/>
      </c>
      <c r="I15" s="23">
        <f>IFERROR(SUMIFS(Skill_Assessments!$D$2:$D$500,Skill_Assessments!$B$2:$B$500,$A15,Skill_Assessments!$C$2:$C$500,I1,Skill_Assessments!$A$2:$A$500,"&gt;="&amp;Setup!$B$4,Skill_Assessments!$A$2:$A$500,"&lt;="&amp;Setup!$B$5)/COUNTIFS(Skill_Assessments!$B$2:$B$500,$A15,Skill_Assessments!$C$2:$C$500,I1,Skill_Assessments!$A$2:$A$500,"&gt;="&amp;Setup!$B$4,Skill_Assessments!$A$2:$A$500,"&lt;="&amp;Setup!$B$5),"")</f>
        <v/>
      </c>
      <c r="J15" s="23">
        <f>IFERROR(SUMIFS(Skill_Assessments!$D$2:$D$500,Skill_Assessments!$B$2:$B$500,$A15,Skill_Assessments!$C$2:$C$500,J1,Skill_Assessments!$A$2:$A$500,"&gt;="&amp;Setup!$B$4,Skill_Assessments!$A$2:$A$500,"&lt;="&amp;Setup!$B$5)/COUNTIFS(Skill_Assessments!$B$2:$B$500,$A15,Skill_Assessments!$C$2:$C$500,J1,Skill_Assessments!$A$2:$A$500,"&gt;="&amp;Setup!$B$4,Skill_Assessments!$A$2:$A$500,"&lt;="&amp;Setup!$B$5),"")</f>
        <v/>
      </c>
      <c r="K15" s="23">
        <f>IFERROR(SUMPRODUCT(C15:J15,Skills_List!$D$2:$D$9)/(5*SUM(Skills_List!$D$2:$D$9))*100,"")</f>
        <v/>
      </c>
    </row>
    <row r="16">
      <c r="A16" s="3">
        <f>IF(Staff!A16&lt;&gt;"",Staff!A16,"")</f>
        <v/>
      </c>
      <c r="B16" s="3">
        <f>IF(A16&lt;&gt;"",VLOOKUP(A16,Staff!$A$2:$B$200,2,FALSE),"")</f>
        <v/>
      </c>
      <c r="C16" s="23">
        <f>IFERROR(SUMIFS(Skill_Assessments!$D$2:$D$500,Skill_Assessments!$B$2:$B$500,$A16,Skill_Assessments!$C$2:$C$500,C1,Skill_Assessments!$A$2:$A$500,"&gt;="&amp;Setup!$B$4,Skill_Assessments!$A$2:$A$500,"&lt;="&amp;Setup!$B$5)/COUNTIFS(Skill_Assessments!$B$2:$B$500,$A16,Skill_Assessments!$C$2:$C$500,C1,Skill_Assessments!$A$2:$A$500,"&gt;="&amp;Setup!$B$4,Skill_Assessments!$A$2:$A$500,"&lt;="&amp;Setup!$B$5),"")</f>
        <v/>
      </c>
      <c r="D16" s="23">
        <f>IFERROR(SUMIFS(Skill_Assessments!$D$2:$D$500,Skill_Assessments!$B$2:$B$500,$A16,Skill_Assessments!$C$2:$C$500,D1,Skill_Assessments!$A$2:$A$500,"&gt;="&amp;Setup!$B$4,Skill_Assessments!$A$2:$A$500,"&lt;="&amp;Setup!$B$5)/COUNTIFS(Skill_Assessments!$B$2:$B$500,$A16,Skill_Assessments!$C$2:$C$500,D1,Skill_Assessments!$A$2:$A$500,"&gt;="&amp;Setup!$B$4,Skill_Assessments!$A$2:$A$500,"&lt;="&amp;Setup!$B$5),"")</f>
        <v/>
      </c>
      <c r="E16" s="23">
        <f>IFERROR(SUMIFS(Skill_Assessments!$D$2:$D$500,Skill_Assessments!$B$2:$B$500,$A16,Skill_Assessments!$C$2:$C$500,E1,Skill_Assessments!$A$2:$A$500,"&gt;="&amp;Setup!$B$4,Skill_Assessments!$A$2:$A$500,"&lt;="&amp;Setup!$B$5)/COUNTIFS(Skill_Assessments!$B$2:$B$500,$A16,Skill_Assessments!$C$2:$C$500,E1,Skill_Assessments!$A$2:$A$500,"&gt;="&amp;Setup!$B$4,Skill_Assessments!$A$2:$A$500,"&lt;="&amp;Setup!$B$5),"")</f>
        <v/>
      </c>
      <c r="F16" s="23">
        <f>IFERROR(SUMIFS(Skill_Assessments!$D$2:$D$500,Skill_Assessments!$B$2:$B$500,$A16,Skill_Assessments!$C$2:$C$500,F1,Skill_Assessments!$A$2:$A$500,"&gt;="&amp;Setup!$B$4,Skill_Assessments!$A$2:$A$500,"&lt;="&amp;Setup!$B$5)/COUNTIFS(Skill_Assessments!$B$2:$B$500,$A16,Skill_Assessments!$C$2:$C$500,F1,Skill_Assessments!$A$2:$A$500,"&gt;="&amp;Setup!$B$4,Skill_Assessments!$A$2:$A$500,"&lt;="&amp;Setup!$B$5),"")</f>
        <v/>
      </c>
      <c r="G16" s="23">
        <f>IFERROR(SUMIFS(Skill_Assessments!$D$2:$D$500,Skill_Assessments!$B$2:$B$500,$A16,Skill_Assessments!$C$2:$C$500,G1,Skill_Assessments!$A$2:$A$500,"&gt;="&amp;Setup!$B$4,Skill_Assessments!$A$2:$A$500,"&lt;="&amp;Setup!$B$5)/COUNTIFS(Skill_Assessments!$B$2:$B$500,$A16,Skill_Assessments!$C$2:$C$500,G1,Skill_Assessments!$A$2:$A$500,"&gt;="&amp;Setup!$B$4,Skill_Assessments!$A$2:$A$500,"&lt;="&amp;Setup!$B$5),"")</f>
        <v/>
      </c>
      <c r="H16" s="23">
        <f>IFERROR(SUMIFS(Skill_Assessments!$D$2:$D$500,Skill_Assessments!$B$2:$B$500,$A16,Skill_Assessments!$C$2:$C$500,H1,Skill_Assessments!$A$2:$A$500,"&gt;="&amp;Setup!$B$4,Skill_Assessments!$A$2:$A$500,"&lt;="&amp;Setup!$B$5)/COUNTIFS(Skill_Assessments!$B$2:$B$500,$A16,Skill_Assessments!$C$2:$C$500,H1,Skill_Assessments!$A$2:$A$500,"&gt;="&amp;Setup!$B$4,Skill_Assessments!$A$2:$A$500,"&lt;="&amp;Setup!$B$5),"")</f>
        <v/>
      </c>
      <c r="I16" s="23">
        <f>IFERROR(SUMIFS(Skill_Assessments!$D$2:$D$500,Skill_Assessments!$B$2:$B$500,$A16,Skill_Assessments!$C$2:$C$500,I1,Skill_Assessments!$A$2:$A$500,"&gt;="&amp;Setup!$B$4,Skill_Assessments!$A$2:$A$500,"&lt;="&amp;Setup!$B$5)/COUNTIFS(Skill_Assessments!$B$2:$B$500,$A16,Skill_Assessments!$C$2:$C$500,I1,Skill_Assessments!$A$2:$A$500,"&gt;="&amp;Setup!$B$4,Skill_Assessments!$A$2:$A$500,"&lt;="&amp;Setup!$B$5),"")</f>
        <v/>
      </c>
      <c r="J16" s="23">
        <f>IFERROR(SUMIFS(Skill_Assessments!$D$2:$D$500,Skill_Assessments!$B$2:$B$500,$A16,Skill_Assessments!$C$2:$C$500,J1,Skill_Assessments!$A$2:$A$500,"&gt;="&amp;Setup!$B$4,Skill_Assessments!$A$2:$A$500,"&lt;="&amp;Setup!$B$5)/COUNTIFS(Skill_Assessments!$B$2:$B$500,$A16,Skill_Assessments!$C$2:$C$500,J1,Skill_Assessments!$A$2:$A$500,"&gt;="&amp;Setup!$B$4,Skill_Assessments!$A$2:$A$500,"&lt;="&amp;Setup!$B$5),"")</f>
        <v/>
      </c>
      <c r="K16" s="23">
        <f>IFERROR(SUMPRODUCT(C16:J16,Skills_List!$D$2:$D$9)/(5*SUM(Skills_List!$D$2:$D$9))*100,"")</f>
        <v/>
      </c>
    </row>
    <row r="17">
      <c r="A17" s="3">
        <f>IF(Staff!A17&lt;&gt;"",Staff!A17,"")</f>
        <v/>
      </c>
      <c r="B17" s="3">
        <f>IF(A17&lt;&gt;"",VLOOKUP(A17,Staff!$A$2:$B$200,2,FALSE),"")</f>
        <v/>
      </c>
      <c r="C17" s="23">
        <f>IFERROR(SUMIFS(Skill_Assessments!$D$2:$D$500,Skill_Assessments!$B$2:$B$500,$A17,Skill_Assessments!$C$2:$C$500,C1,Skill_Assessments!$A$2:$A$500,"&gt;="&amp;Setup!$B$4,Skill_Assessments!$A$2:$A$500,"&lt;="&amp;Setup!$B$5)/COUNTIFS(Skill_Assessments!$B$2:$B$500,$A17,Skill_Assessments!$C$2:$C$500,C1,Skill_Assessments!$A$2:$A$500,"&gt;="&amp;Setup!$B$4,Skill_Assessments!$A$2:$A$500,"&lt;="&amp;Setup!$B$5),"")</f>
        <v/>
      </c>
      <c r="D17" s="23">
        <f>IFERROR(SUMIFS(Skill_Assessments!$D$2:$D$500,Skill_Assessments!$B$2:$B$500,$A17,Skill_Assessments!$C$2:$C$500,D1,Skill_Assessments!$A$2:$A$500,"&gt;="&amp;Setup!$B$4,Skill_Assessments!$A$2:$A$500,"&lt;="&amp;Setup!$B$5)/COUNTIFS(Skill_Assessments!$B$2:$B$500,$A17,Skill_Assessments!$C$2:$C$500,D1,Skill_Assessments!$A$2:$A$500,"&gt;="&amp;Setup!$B$4,Skill_Assessments!$A$2:$A$500,"&lt;="&amp;Setup!$B$5),"")</f>
        <v/>
      </c>
      <c r="E17" s="23">
        <f>IFERROR(SUMIFS(Skill_Assessments!$D$2:$D$500,Skill_Assessments!$B$2:$B$500,$A17,Skill_Assessments!$C$2:$C$500,E1,Skill_Assessments!$A$2:$A$500,"&gt;="&amp;Setup!$B$4,Skill_Assessments!$A$2:$A$500,"&lt;="&amp;Setup!$B$5)/COUNTIFS(Skill_Assessments!$B$2:$B$500,$A17,Skill_Assessments!$C$2:$C$500,E1,Skill_Assessments!$A$2:$A$500,"&gt;="&amp;Setup!$B$4,Skill_Assessments!$A$2:$A$500,"&lt;="&amp;Setup!$B$5),"")</f>
        <v/>
      </c>
      <c r="F17" s="23">
        <f>IFERROR(SUMIFS(Skill_Assessments!$D$2:$D$500,Skill_Assessments!$B$2:$B$500,$A17,Skill_Assessments!$C$2:$C$500,F1,Skill_Assessments!$A$2:$A$500,"&gt;="&amp;Setup!$B$4,Skill_Assessments!$A$2:$A$500,"&lt;="&amp;Setup!$B$5)/COUNTIFS(Skill_Assessments!$B$2:$B$500,$A17,Skill_Assessments!$C$2:$C$500,F1,Skill_Assessments!$A$2:$A$500,"&gt;="&amp;Setup!$B$4,Skill_Assessments!$A$2:$A$500,"&lt;="&amp;Setup!$B$5),"")</f>
        <v/>
      </c>
      <c r="G17" s="23">
        <f>IFERROR(SUMIFS(Skill_Assessments!$D$2:$D$500,Skill_Assessments!$B$2:$B$500,$A17,Skill_Assessments!$C$2:$C$500,G1,Skill_Assessments!$A$2:$A$500,"&gt;="&amp;Setup!$B$4,Skill_Assessments!$A$2:$A$500,"&lt;="&amp;Setup!$B$5)/COUNTIFS(Skill_Assessments!$B$2:$B$500,$A17,Skill_Assessments!$C$2:$C$500,G1,Skill_Assessments!$A$2:$A$500,"&gt;="&amp;Setup!$B$4,Skill_Assessments!$A$2:$A$500,"&lt;="&amp;Setup!$B$5),"")</f>
        <v/>
      </c>
      <c r="H17" s="23">
        <f>IFERROR(SUMIFS(Skill_Assessments!$D$2:$D$500,Skill_Assessments!$B$2:$B$500,$A17,Skill_Assessments!$C$2:$C$500,H1,Skill_Assessments!$A$2:$A$500,"&gt;="&amp;Setup!$B$4,Skill_Assessments!$A$2:$A$500,"&lt;="&amp;Setup!$B$5)/COUNTIFS(Skill_Assessments!$B$2:$B$500,$A17,Skill_Assessments!$C$2:$C$500,H1,Skill_Assessments!$A$2:$A$500,"&gt;="&amp;Setup!$B$4,Skill_Assessments!$A$2:$A$500,"&lt;="&amp;Setup!$B$5),"")</f>
        <v/>
      </c>
      <c r="I17" s="23">
        <f>IFERROR(SUMIFS(Skill_Assessments!$D$2:$D$500,Skill_Assessments!$B$2:$B$500,$A17,Skill_Assessments!$C$2:$C$500,I1,Skill_Assessments!$A$2:$A$500,"&gt;="&amp;Setup!$B$4,Skill_Assessments!$A$2:$A$500,"&lt;="&amp;Setup!$B$5)/COUNTIFS(Skill_Assessments!$B$2:$B$500,$A17,Skill_Assessments!$C$2:$C$500,I1,Skill_Assessments!$A$2:$A$500,"&gt;="&amp;Setup!$B$4,Skill_Assessments!$A$2:$A$500,"&lt;="&amp;Setup!$B$5),"")</f>
        <v/>
      </c>
      <c r="J17" s="23">
        <f>IFERROR(SUMIFS(Skill_Assessments!$D$2:$D$500,Skill_Assessments!$B$2:$B$500,$A17,Skill_Assessments!$C$2:$C$500,J1,Skill_Assessments!$A$2:$A$500,"&gt;="&amp;Setup!$B$4,Skill_Assessments!$A$2:$A$500,"&lt;="&amp;Setup!$B$5)/COUNTIFS(Skill_Assessments!$B$2:$B$500,$A17,Skill_Assessments!$C$2:$C$500,J1,Skill_Assessments!$A$2:$A$500,"&gt;="&amp;Setup!$B$4,Skill_Assessments!$A$2:$A$500,"&lt;="&amp;Setup!$B$5),"")</f>
        <v/>
      </c>
      <c r="K17" s="23">
        <f>IFERROR(SUMPRODUCT(C17:J17,Skills_List!$D$2:$D$9)/(5*SUM(Skills_List!$D$2:$D$9))*100,"")</f>
        <v/>
      </c>
    </row>
    <row r="18">
      <c r="A18" s="3">
        <f>IF(Staff!A18&lt;&gt;"",Staff!A18,"")</f>
        <v/>
      </c>
      <c r="B18" s="3">
        <f>IF(A18&lt;&gt;"",VLOOKUP(A18,Staff!$A$2:$B$200,2,FALSE),"")</f>
        <v/>
      </c>
      <c r="C18" s="23">
        <f>IFERROR(SUMIFS(Skill_Assessments!$D$2:$D$500,Skill_Assessments!$B$2:$B$500,$A18,Skill_Assessments!$C$2:$C$500,C1,Skill_Assessments!$A$2:$A$500,"&gt;="&amp;Setup!$B$4,Skill_Assessments!$A$2:$A$500,"&lt;="&amp;Setup!$B$5)/COUNTIFS(Skill_Assessments!$B$2:$B$500,$A18,Skill_Assessments!$C$2:$C$500,C1,Skill_Assessments!$A$2:$A$500,"&gt;="&amp;Setup!$B$4,Skill_Assessments!$A$2:$A$500,"&lt;="&amp;Setup!$B$5),"")</f>
        <v/>
      </c>
      <c r="D18" s="23">
        <f>IFERROR(SUMIFS(Skill_Assessments!$D$2:$D$500,Skill_Assessments!$B$2:$B$500,$A18,Skill_Assessments!$C$2:$C$500,D1,Skill_Assessments!$A$2:$A$500,"&gt;="&amp;Setup!$B$4,Skill_Assessments!$A$2:$A$500,"&lt;="&amp;Setup!$B$5)/COUNTIFS(Skill_Assessments!$B$2:$B$500,$A18,Skill_Assessments!$C$2:$C$500,D1,Skill_Assessments!$A$2:$A$500,"&gt;="&amp;Setup!$B$4,Skill_Assessments!$A$2:$A$500,"&lt;="&amp;Setup!$B$5),"")</f>
        <v/>
      </c>
      <c r="E18" s="23">
        <f>IFERROR(SUMIFS(Skill_Assessments!$D$2:$D$500,Skill_Assessments!$B$2:$B$500,$A18,Skill_Assessments!$C$2:$C$500,E1,Skill_Assessments!$A$2:$A$500,"&gt;="&amp;Setup!$B$4,Skill_Assessments!$A$2:$A$500,"&lt;="&amp;Setup!$B$5)/COUNTIFS(Skill_Assessments!$B$2:$B$500,$A18,Skill_Assessments!$C$2:$C$500,E1,Skill_Assessments!$A$2:$A$500,"&gt;="&amp;Setup!$B$4,Skill_Assessments!$A$2:$A$500,"&lt;="&amp;Setup!$B$5),"")</f>
        <v/>
      </c>
      <c r="F18" s="23">
        <f>IFERROR(SUMIFS(Skill_Assessments!$D$2:$D$500,Skill_Assessments!$B$2:$B$500,$A18,Skill_Assessments!$C$2:$C$500,F1,Skill_Assessments!$A$2:$A$500,"&gt;="&amp;Setup!$B$4,Skill_Assessments!$A$2:$A$500,"&lt;="&amp;Setup!$B$5)/COUNTIFS(Skill_Assessments!$B$2:$B$500,$A18,Skill_Assessments!$C$2:$C$500,F1,Skill_Assessments!$A$2:$A$500,"&gt;="&amp;Setup!$B$4,Skill_Assessments!$A$2:$A$500,"&lt;="&amp;Setup!$B$5),"")</f>
        <v/>
      </c>
      <c r="G18" s="23">
        <f>IFERROR(SUMIFS(Skill_Assessments!$D$2:$D$500,Skill_Assessments!$B$2:$B$500,$A18,Skill_Assessments!$C$2:$C$500,G1,Skill_Assessments!$A$2:$A$500,"&gt;="&amp;Setup!$B$4,Skill_Assessments!$A$2:$A$500,"&lt;="&amp;Setup!$B$5)/COUNTIFS(Skill_Assessments!$B$2:$B$500,$A18,Skill_Assessments!$C$2:$C$500,G1,Skill_Assessments!$A$2:$A$500,"&gt;="&amp;Setup!$B$4,Skill_Assessments!$A$2:$A$500,"&lt;="&amp;Setup!$B$5),"")</f>
        <v/>
      </c>
      <c r="H18" s="23">
        <f>IFERROR(SUMIFS(Skill_Assessments!$D$2:$D$500,Skill_Assessments!$B$2:$B$500,$A18,Skill_Assessments!$C$2:$C$500,H1,Skill_Assessments!$A$2:$A$500,"&gt;="&amp;Setup!$B$4,Skill_Assessments!$A$2:$A$500,"&lt;="&amp;Setup!$B$5)/COUNTIFS(Skill_Assessments!$B$2:$B$500,$A18,Skill_Assessments!$C$2:$C$500,H1,Skill_Assessments!$A$2:$A$500,"&gt;="&amp;Setup!$B$4,Skill_Assessments!$A$2:$A$500,"&lt;="&amp;Setup!$B$5),"")</f>
        <v/>
      </c>
      <c r="I18" s="23">
        <f>IFERROR(SUMIFS(Skill_Assessments!$D$2:$D$500,Skill_Assessments!$B$2:$B$500,$A18,Skill_Assessments!$C$2:$C$500,I1,Skill_Assessments!$A$2:$A$500,"&gt;="&amp;Setup!$B$4,Skill_Assessments!$A$2:$A$500,"&lt;="&amp;Setup!$B$5)/COUNTIFS(Skill_Assessments!$B$2:$B$500,$A18,Skill_Assessments!$C$2:$C$500,I1,Skill_Assessments!$A$2:$A$500,"&gt;="&amp;Setup!$B$4,Skill_Assessments!$A$2:$A$500,"&lt;="&amp;Setup!$B$5),"")</f>
        <v/>
      </c>
      <c r="J18" s="23">
        <f>IFERROR(SUMIFS(Skill_Assessments!$D$2:$D$500,Skill_Assessments!$B$2:$B$500,$A18,Skill_Assessments!$C$2:$C$500,J1,Skill_Assessments!$A$2:$A$500,"&gt;="&amp;Setup!$B$4,Skill_Assessments!$A$2:$A$500,"&lt;="&amp;Setup!$B$5)/COUNTIFS(Skill_Assessments!$B$2:$B$500,$A18,Skill_Assessments!$C$2:$C$500,J1,Skill_Assessments!$A$2:$A$500,"&gt;="&amp;Setup!$B$4,Skill_Assessments!$A$2:$A$500,"&lt;="&amp;Setup!$B$5),"")</f>
        <v/>
      </c>
      <c r="K18" s="23">
        <f>IFERROR(SUMPRODUCT(C18:J18,Skills_List!$D$2:$D$9)/(5*SUM(Skills_List!$D$2:$D$9))*100,"")</f>
        <v/>
      </c>
    </row>
    <row r="19">
      <c r="A19" s="3">
        <f>IF(Staff!A19&lt;&gt;"",Staff!A19,"")</f>
        <v/>
      </c>
      <c r="B19" s="3">
        <f>IF(A19&lt;&gt;"",VLOOKUP(A19,Staff!$A$2:$B$200,2,FALSE),"")</f>
        <v/>
      </c>
      <c r="C19" s="23">
        <f>IFERROR(SUMIFS(Skill_Assessments!$D$2:$D$500,Skill_Assessments!$B$2:$B$500,$A19,Skill_Assessments!$C$2:$C$500,C1,Skill_Assessments!$A$2:$A$500,"&gt;="&amp;Setup!$B$4,Skill_Assessments!$A$2:$A$500,"&lt;="&amp;Setup!$B$5)/COUNTIFS(Skill_Assessments!$B$2:$B$500,$A19,Skill_Assessments!$C$2:$C$500,C1,Skill_Assessments!$A$2:$A$500,"&gt;="&amp;Setup!$B$4,Skill_Assessments!$A$2:$A$500,"&lt;="&amp;Setup!$B$5),"")</f>
        <v/>
      </c>
      <c r="D19" s="23">
        <f>IFERROR(SUMIFS(Skill_Assessments!$D$2:$D$500,Skill_Assessments!$B$2:$B$500,$A19,Skill_Assessments!$C$2:$C$500,D1,Skill_Assessments!$A$2:$A$500,"&gt;="&amp;Setup!$B$4,Skill_Assessments!$A$2:$A$500,"&lt;="&amp;Setup!$B$5)/COUNTIFS(Skill_Assessments!$B$2:$B$500,$A19,Skill_Assessments!$C$2:$C$500,D1,Skill_Assessments!$A$2:$A$500,"&gt;="&amp;Setup!$B$4,Skill_Assessments!$A$2:$A$500,"&lt;="&amp;Setup!$B$5),"")</f>
        <v/>
      </c>
      <c r="E19" s="23">
        <f>IFERROR(SUMIFS(Skill_Assessments!$D$2:$D$500,Skill_Assessments!$B$2:$B$500,$A19,Skill_Assessments!$C$2:$C$500,E1,Skill_Assessments!$A$2:$A$500,"&gt;="&amp;Setup!$B$4,Skill_Assessments!$A$2:$A$500,"&lt;="&amp;Setup!$B$5)/COUNTIFS(Skill_Assessments!$B$2:$B$500,$A19,Skill_Assessments!$C$2:$C$500,E1,Skill_Assessments!$A$2:$A$500,"&gt;="&amp;Setup!$B$4,Skill_Assessments!$A$2:$A$500,"&lt;="&amp;Setup!$B$5),"")</f>
        <v/>
      </c>
      <c r="F19" s="23">
        <f>IFERROR(SUMIFS(Skill_Assessments!$D$2:$D$500,Skill_Assessments!$B$2:$B$500,$A19,Skill_Assessments!$C$2:$C$500,F1,Skill_Assessments!$A$2:$A$500,"&gt;="&amp;Setup!$B$4,Skill_Assessments!$A$2:$A$500,"&lt;="&amp;Setup!$B$5)/COUNTIFS(Skill_Assessments!$B$2:$B$500,$A19,Skill_Assessments!$C$2:$C$500,F1,Skill_Assessments!$A$2:$A$500,"&gt;="&amp;Setup!$B$4,Skill_Assessments!$A$2:$A$500,"&lt;="&amp;Setup!$B$5),"")</f>
        <v/>
      </c>
      <c r="G19" s="23">
        <f>IFERROR(SUMIFS(Skill_Assessments!$D$2:$D$500,Skill_Assessments!$B$2:$B$500,$A19,Skill_Assessments!$C$2:$C$500,G1,Skill_Assessments!$A$2:$A$500,"&gt;="&amp;Setup!$B$4,Skill_Assessments!$A$2:$A$500,"&lt;="&amp;Setup!$B$5)/COUNTIFS(Skill_Assessments!$B$2:$B$500,$A19,Skill_Assessments!$C$2:$C$500,G1,Skill_Assessments!$A$2:$A$500,"&gt;="&amp;Setup!$B$4,Skill_Assessments!$A$2:$A$500,"&lt;="&amp;Setup!$B$5),"")</f>
        <v/>
      </c>
      <c r="H19" s="23">
        <f>IFERROR(SUMIFS(Skill_Assessments!$D$2:$D$500,Skill_Assessments!$B$2:$B$500,$A19,Skill_Assessments!$C$2:$C$500,H1,Skill_Assessments!$A$2:$A$500,"&gt;="&amp;Setup!$B$4,Skill_Assessments!$A$2:$A$500,"&lt;="&amp;Setup!$B$5)/COUNTIFS(Skill_Assessments!$B$2:$B$500,$A19,Skill_Assessments!$C$2:$C$500,H1,Skill_Assessments!$A$2:$A$500,"&gt;="&amp;Setup!$B$4,Skill_Assessments!$A$2:$A$500,"&lt;="&amp;Setup!$B$5),"")</f>
        <v/>
      </c>
      <c r="I19" s="23">
        <f>IFERROR(SUMIFS(Skill_Assessments!$D$2:$D$500,Skill_Assessments!$B$2:$B$500,$A19,Skill_Assessments!$C$2:$C$500,I1,Skill_Assessments!$A$2:$A$500,"&gt;="&amp;Setup!$B$4,Skill_Assessments!$A$2:$A$500,"&lt;="&amp;Setup!$B$5)/COUNTIFS(Skill_Assessments!$B$2:$B$500,$A19,Skill_Assessments!$C$2:$C$500,I1,Skill_Assessments!$A$2:$A$500,"&gt;="&amp;Setup!$B$4,Skill_Assessments!$A$2:$A$500,"&lt;="&amp;Setup!$B$5),"")</f>
        <v/>
      </c>
      <c r="J19" s="23">
        <f>IFERROR(SUMIFS(Skill_Assessments!$D$2:$D$500,Skill_Assessments!$B$2:$B$500,$A19,Skill_Assessments!$C$2:$C$500,J1,Skill_Assessments!$A$2:$A$500,"&gt;="&amp;Setup!$B$4,Skill_Assessments!$A$2:$A$500,"&lt;="&amp;Setup!$B$5)/COUNTIFS(Skill_Assessments!$B$2:$B$500,$A19,Skill_Assessments!$C$2:$C$500,J1,Skill_Assessments!$A$2:$A$500,"&gt;="&amp;Setup!$B$4,Skill_Assessments!$A$2:$A$500,"&lt;="&amp;Setup!$B$5),"")</f>
        <v/>
      </c>
      <c r="K19" s="23">
        <f>IFERROR(SUMPRODUCT(C19:J19,Skills_List!$D$2:$D$9)/(5*SUM(Skills_List!$D$2:$D$9))*100,"")</f>
        <v/>
      </c>
    </row>
    <row r="20">
      <c r="A20" s="3">
        <f>IF(Staff!A20&lt;&gt;"",Staff!A20,"")</f>
        <v/>
      </c>
      <c r="B20" s="3">
        <f>IF(A20&lt;&gt;"",VLOOKUP(A20,Staff!$A$2:$B$200,2,FALSE),"")</f>
        <v/>
      </c>
      <c r="C20" s="23">
        <f>IFERROR(SUMIFS(Skill_Assessments!$D$2:$D$500,Skill_Assessments!$B$2:$B$500,$A20,Skill_Assessments!$C$2:$C$500,C1,Skill_Assessments!$A$2:$A$500,"&gt;="&amp;Setup!$B$4,Skill_Assessments!$A$2:$A$500,"&lt;="&amp;Setup!$B$5)/COUNTIFS(Skill_Assessments!$B$2:$B$500,$A20,Skill_Assessments!$C$2:$C$500,C1,Skill_Assessments!$A$2:$A$500,"&gt;="&amp;Setup!$B$4,Skill_Assessments!$A$2:$A$500,"&lt;="&amp;Setup!$B$5),"")</f>
        <v/>
      </c>
      <c r="D20" s="23">
        <f>IFERROR(SUMIFS(Skill_Assessments!$D$2:$D$500,Skill_Assessments!$B$2:$B$500,$A20,Skill_Assessments!$C$2:$C$500,D1,Skill_Assessments!$A$2:$A$500,"&gt;="&amp;Setup!$B$4,Skill_Assessments!$A$2:$A$500,"&lt;="&amp;Setup!$B$5)/COUNTIFS(Skill_Assessments!$B$2:$B$500,$A20,Skill_Assessments!$C$2:$C$500,D1,Skill_Assessments!$A$2:$A$500,"&gt;="&amp;Setup!$B$4,Skill_Assessments!$A$2:$A$500,"&lt;="&amp;Setup!$B$5),"")</f>
        <v/>
      </c>
      <c r="E20" s="23">
        <f>IFERROR(SUMIFS(Skill_Assessments!$D$2:$D$500,Skill_Assessments!$B$2:$B$500,$A20,Skill_Assessments!$C$2:$C$500,E1,Skill_Assessments!$A$2:$A$500,"&gt;="&amp;Setup!$B$4,Skill_Assessments!$A$2:$A$500,"&lt;="&amp;Setup!$B$5)/COUNTIFS(Skill_Assessments!$B$2:$B$500,$A20,Skill_Assessments!$C$2:$C$500,E1,Skill_Assessments!$A$2:$A$500,"&gt;="&amp;Setup!$B$4,Skill_Assessments!$A$2:$A$500,"&lt;="&amp;Setup!$B$5),"")</f>
        <v/>
      </c>
      <c r="F20" s="23">
        <f>IFERROR(SUMIFS(Skill_Assessments!$D$2:$D$500,Skill_Assessments!$B$2:$B$500,$A20,Skill_Assessments!$C$2:$C$500,F1,Skill_Assessments!$A$2:$A$500,"&gt;="&amp;Setup!$B$4,Skill_Assessments!$A$2:$A$500,"&lt;="&amp;Setup!$B$5)/COUNTIFS(Skill_Assessments!$B$2:$B$500,$A20,Skill_Assessments!$C$2:$C$500,F1,Skill_Assessments!$A$2:$A$500,"&gt;="&amp;Setup!$B$4,Skill_Assessments!$A$2:$A$500,"&lt;="&amp;Setup!$B$5),"")</f>
        <v/>
      </c>
      <c r="G20" s="23">
        <f>IFERROR(SUMIFS(Skill_Assessments!$D$2:$D$500,Skill_Assessments!$B$2:$B$500,$A20,Skill_Assessments!$C$2:$C$500,G1,Skill_Assessments!$A$2:$A$500,"&gt;="&amp;Setup!$B$4,Skill_Assessments!$A$2:$A$500,"&lt;="&amp;Setup!$B$5)/COUNTIFS(Skill_Assessments!$B$2:$B$500,$A20,Skill_Assessments!$C$2:$C$500,G1,Skill_Assessments!$A$2:$A$500,"&gt;="&amp;Setup!$B$4,Skill_Assessments!$A$2:$A$500,"&lt;="&amp;Setup!$B$5),"")</f>
        <v/>
      </c>
      <c r="H20" s="23">
        <f>IFERROR(SUMIFS(Skill_Assessments!$D$2:$D$500,Skill_Assessments!$B$2:$B$500,$A20,Skill_Assessments!$C$2:$C$500,H1,Skill_Assessments!$A$2:$A$500,"&gt;="&amp;Setup!$B$4,Skill_Assessments!$A$2:$A$500,"&lt;="&amp;Setup!$B$5)/COUNTIFS(Skill_Assessments!$B$2:$B$500,$A20,Skill_Assessments!$C$2:$C$500,H1,Skill_Assessments!$A$2:$A$500,"&gt;="&amp;Setup!$B$4,Skill_Assessments!$A$2:$A$500,"&lt;="&amp;Setup!$B$5),"")</f>
        <v/>
      </c>
      <c r="I20" s="23">
        <f>IFERROR(SUMIFS(Skill_Assessments!$D$2:$D$500,Skill_Assessments!$B$2:$B$500,$A20,Skill_Assessments!$C$2:$C$500,I1,Skill_Assessments!$A$2:$A$500,"&gt;="&amp;Setup!$B$4,Skill_Assessments!$A$2:$A$500,"&lt;="&amp;Setup!$B$5)/COUNTIFS(Skill_Assessments!$B$2:$B$500,$A20,Skill_Assessments!$C$2:$C$500,I1,Skill_Assessments!$A$2:$A$500,"&gt;="&amp;Setup!$B$4,Skill_Assessments!$A$2:$A$500,"&lt;="&amp;Setup!$B$5),"")</f>
        <v/>
      </c>
      <c r="J20" s="23">
        <f>IFERROR(SUMIFS(Skill_Assessments!$D$2:$D$500,Skill_Assessments!$B$2:$B$500,$A20,Skill_Assessments!$C$2:$C$500,J1,Skill_Assessments!$A$2:$A$500,"&gt;="&amp;Setup!$B$4,Skill_Assessments!$A$2:$A$500,"&lt;="&amp;Setup!$B$5)/COUNTIFS(Skill_Assessments!$B$2:$B$500,$A20,Skill_Assessments!$C$2:$C$500,J1,Skill_Assessments!$A$2:$A$500,"&gt;="&amp;Setup!$B$4,Skill_Assessments!$A$2:$A$500,"&lt;="&amp;Setup!$B$5),"")</f>
        <v/>
      </c>
      <c r="K20" s="23">
        <f>IFERROR(SUMPRODUCT(C20:J20,Skills_List!$D$2:$D$9)/(5*SUM(Skills_List!$D$2:$D$9))*100,"")</f>
        <v/>
      </c>
    </row>
    <row r="21">
      <c r="A21">
        <f>IF(Staff!A21&lt;&gt;"",Staff!A21,"")</f>
        <v/>
      </c>
      <c r="B21">
        <f>IF(A21&lt;&gt;"",VLOOKUP(A21,Staff!$A$2:$B$200,2,FALSE),"")</f>
        <v/>
      </c>
      <c r="C21" s="24">
        <f>IFERROR(SUMIFS(Skill_Assessments!$D$2:$D$500,Skill_Assessments!$B$2:$B$500,$A21,Skill_Assessments!$C$2:$C$500,C1,Skill_Assessments!$A$2:$A$500,"&gt;="&amp;Setup!$B$4,Skill_Assessments!$A$2:$A$500,"&lt;="&amp;Setup!$B$5)/COUNTIFS(Skill_Assessments!$B$2:$B$500,$A21,Skill_Assessments!$C$2:$C$500,C1,Skill_Assessments!$A$2:$A$500,"&gt;="&amp;Setup!$B$4,Skill_Assessments!$A$2:$A$500,"&lt;="&amp;Setup!$B$5),"")</f>
        <v/>
      </c>
      <c r="D21" s="24">
        <f>IFERROR(SUMIFS(Skill_Assessments!$D$2:$D$500,Skill_Assessments!$B$2:$B$500,$A21,Skill_Assessments!$C$2:$C$500,D1,Skill_Assessments!$A$2:$A$500,"&gt;="&amp;Setup!$B$4,Skill_Assessments!$A$2:$A$500,"&lt;="&amp;Setup!$B$5)/COUNTIFS(Skill_Assessments!$B$2:$B$500,$A21,Skill_Assessments!$C$2:$C$500,D1,Skill_Assessments!$A$2:$A$500,"&gt;="&amp;Setup!$B$4,Skill_Assessments!$A$2:$A$500,"&lt;="&amp;Setup!$B$5),"")</f>
        <v/>
      </c>
      <c r="E21" s="24">
        <f>IFERROR(SUMIFS(Skill_Assessments!$D$2:$D$500,Skill_Assessments!$B$2:$B$500,$A21,Skill_Assessments!$C$2:$C$500,E1,Skill_Assessments!$A$2:$A$500,"&gt;="&amp;Setup!$B$4,Skill_Assessments!$A$2:$A$500,"&lt;="&amp;Setup!$B$5)/COUNTIFS(Skill_Assessments!$B$2:$B$500,$A21,Skill_Assessments!$C$2:$C$500,E1,Skill_Assessments!$A$2:$A$500,"&gt;="&amp;Setup!$B$4,Skill_Assessments!$A$2:$A$500,"&lt;="&amp;Setup!$B$5),"")</f>
        <v/>
      </c>
      <c r="F21" s="24">
        <f>IFERROR(SUMIFS(Skill_Assessments!$D$2:$D$500,Skill_Assessments!$B$2:$B$500,$A21,Skill_Assessments!$C$2:$C$500,F1,Skill_Assessments!$A$2:$A$500,"&gt;="&amp;Setup!$B$4,Skill_Assessments!$A$2:$A$500,"&lt;="&amp;Setup!$B$5)/COUNTIFS(Skill_Assessments!$B$2:$B$500,$A21,Skill_Assessments!$C$2:$C$500,F1,Skill_Assessments!$A$2:$A$500,"&gt;="&amp;Setup!$B$4,Skill_Assessments!$A$2:$A$500,"&lt;="&amp;Setup!$B$5),"")</f>
        <v/>
      </c>
      <c r="G21" s="24">
        <f>IFERROR(SUMIFS(Skill_Assessments!$D$2:$D$500,Skill_Assessments!$B$2:$B$500,$A21,Skill_Assessments!$C$2:$C$500,G1,Skill_Assessments!$A$2:$A$500,"&gt;="&amp;Setup!$B$4,Skill_Assessments!$A$2:$A$500,"&lt;="&amp;Setup!$B$5)/COUNTIFS(Skill_Assessments!$B$2:$B$500,$A21,Skill_Assessments!$C$2:$C$500,G1,Skill_Assessments!$A$2:$A$500,"&gt;="&amp;Setup!$B$4,Skill_Assessments!$A$2:$A$500,"&lt;="&amp;Setup!$B$5),"")</f>
        <v/>
      </c>
      <c r="H21" s="24">
        <f>IFERROR(SUMIFS(Skill_Assessments!$D$2:$D$500,Skill_Assessments!$B$2:$B$500,$A21,Skill_Assessments!$C$2:$C$500,H1,Skill_Assessments!$A$2:$A$500,"&gt;="&amp;Setup!$B$4,Skill_Assessments!$A$2:$A$500,"&lt;="&amp;Setup!$B$5)/COUNTIFS(Skill_Assessments!$B$2:$B$500,$A21,Skill_Assessments!$C$2:$C$500,H1,Skill_Assessments!$A$2:$A$500,"&gt;="&amp;Setup!$B$4,Skill_Assessments!$A$2:$A$500,"&lt;="&amp;Setup!$B$5),"")</f>
        <v/>
      </c>
      <c r="I21" s="24">
        <f>IFERROR(SUMIFS(Skill_Assessments!$D$2:$D$500,Skill_Assessments!$B$2:$B$500,$A21,Skill_Assessments!$C$2:$C$500,I1,Skill_Assessments!$A$2:$A$500,"&gt;="&amp;Setup!$B$4,Skill_Assessments!$A$2:$A$500,"&lt;="&amp;Setup!$B$5)/COUNTIFS(Skill_Assessments!$B$2:$B$500,$A21,Skill_Assessments!$C$2:$C$500,I1,Skill_Assessments!$A$2:$A$500,"&gt;="&amp;Setup!$B$4,Skill_Assessments!$A$2:$A$500,"&lt;="&amp;Setup!$B$5),"")</f>
        <v/>
      </c>
      <c r="J21" s="24">
        <f>IFERROR(SUMIFS(Skill_Assessments!$D$2:$D$500,Skill_Assessments!$B$2:$B$500,$A21,Skill_Assessments!$C$2:$C$500,J1,Skill_Assessments!$A$2:$A$500,"&gt;="&amp;Setup!$B$4,Skill_Assessments!$A$2:$A$500,"&lt;="&amp;Setup!$B$5)/COUNTIFS(Skill_Assessments!$B$2:$B$500,$A21,Skill_Assessments!$C$2:$C$500,J1,Skill_Assessments!$A$2:$A$500,"&gt;="&amp;Setup!$B$4,Skill_Assessments!$A$2:$A$500,"&lt;="&amp;Setup!$B$5),"")</f>
        <v/>
      </c>
      <c r="K21" s="24">
        <f>IFERROR(SUMPRODUCT(C21:J21,Skills_List!$D$2:$D$9)/(5*SUM(Skills_List!$D$2:$D$9))*100,"")</f>
        <v/>
      </c>
    </row>
    <row r="22">
      <c r="A22">
        <f>IF(Staff!A22&lt;&gt;"",Staff!A22,"")</f>
        <v/>
      </c>
      <c r="B22">
        <f>IF(A22&lt;&gt;"",VLOOKUP(A22,Staff!$A$2:$B$200,2,FALSE),"")</f>
        <v/>
      </c>
      <c r="C22" s="24">
        <f>IFERROR(SUMIFS(Skill_Assessments!$D$2:$D$500,Skill_Assessments!$B$2:$B$500,$A22,Skill_Assessments!$C$2:$C$500,C1,Skill_Assessments!$A$2:$A$500,"&gt;="&amp;Setup!$B$4,Skill_Assessments!$A$2:$A$500,"&lt;="&amp;Setup!$B$5)/COUNTIFS(Skill_Assessments!$B$2:$B$500,$A22,Skill_Assessments!$C$2:$C$500,C1,Skill_Assessments!$A$2:$A$500,"&gt;="&amp;Setup!$B$4,Skill_Assessments!$A$2:$A$500,"&lt;="&amp;Setup!$B$5),"")</f>
        <v/>
      </c>
      <c r="D22" s="24">
        <f>IFERROR(SUMIFS(Skill_Assessments!$D$2:$D$500,Skill_Assessments!$B$2:$B$500,$A22,Skill_Assessments!$C$2:$C$500,D1,Skill_Assessments!$A$2:$A$500,"&gt;="&amp;Setup!$B$4,Skill_Assessments!$A$2:$A$500,"&lt;="&amp;Setup!$B$5)/COUNTIFS(Skill_Assessments!$B$2:$B$500,$A22,Skill_Assessments!$C$2:$C$500,D1,Skill_Assessments!$A$2:$A$500,"&gt;="&amp;Setup!$B$4,Skill_Assessments!$A$2:$A$500,"&lt;="&amp;Setup!$B$5),"")</f>
        <v/>
      </c>
      <c r="E22" s="24">
        <f>IFERROR(SUMIFS(Skill_Assessments!$D$2:$D$500,Skill_Assessments!$B$2:$B$500,$A22,Skill_Assessments!$C$2:$C$500,E1,Skill_Assessments!$A$2:$A$500,"&gt;="&amp;Setup!$B$4,Skill_Assessments!$A$2:$A$500,"&lt;="&amp;Setup!$B$5)/COUNTIFS(Skill_Assessments!$B$2:$B$500,$A22,Skill_Assessments!$C$2:$C$500,E1,Skill_Assessments!$A$2:$A$500,"&gt;="&amp;Setup!$B$4,Skill_Assessments!$A$2:$A$500,"&lt;="&amp;Setup!$B$5),"")</f>
        <v/>
      </c>
      <c r="F22" s="24">
        <f>IFERROR(SUMIFS(Skill_Assessments!$D$2:$D$500,Skill_Assessments!$B$2:$B$500,$A22,Skill_Assessments!$C$2:$C$500,F1,Skill_Assessments!$A$2:$A$500,"&gt;="&amp;Setup!$B$4,Skill_Assessments!$A$2:$A$500,"&lt;="&amp;Setup!$B$5)/COUNTIFS(Skill_Assessments!$B$2:$B$500,$A22,Skill_Assessments!$C$2:$C$500,F1,Skill_Assessments!$A$2:$A$500,"&gt;="&amp;Setup!$B$4,Skill_Assessments!$A$2:$A$500,"&lt;="&amp;Setup!$B$5),"")</f>
        <v/>
      </c>
      <c r="G22" s="24">
        <f>IFERROR(SUMIFS(Skill_Assessments!$D$2:$D$500,Skill_Assessments!$B$2:$B$500,$A22,Skill_Assessments!$C$2:$C$500,G1,Skill_Assessments!$A$2:$A$500,"&gt;="&amp;Setup!$B$4,Skill_Assessments!$A$2:$A$500,"&lt;="&amp;Setup!$B$5)/COUNTIFS(Skill_Assessments!$B$2:$B$500,$A22,Skill_Assessments!$C$2:$C$500,G1,Skill_Assessments!$A$2:$A$500,"&gt;="&amp;Setup!$B$4,Skill_Assessments!$A$2:$A$500,"&lt;="&amp;Setup!$B$5),"")</f>
        <v/>
      </c>
      <c r="H22" s="24">
        <f>IFERROR(SUMIFS(Skill_Assessments!$D$2:$D$500,Skill_Assessments!$B$2:$B$500,$A22,Skill_Assessments!$C$2:$C$500,H1,Skill_Assessments!$A$2:$A$500,"&gt;="&amp;Setup!$B$4,Skill_Assessments!$A$2:$A$500,"&lt;="&amp;Setup!$B$5)/COUNTIFS(Skill_Assessments!$B$2:$B$500,$A22,Skill_Assessments!$C$2:$C$500,H1,Skill_Assessments!$A$2:$A$500,"&gt;="&amp;Setup!$B$4,Skill_Assessments!$A$2:$A$500,"&lt;="&amp;Setup!$B$5),"")</f>
        <v/>
      </c>
      <c r="I22" s="24">
        <f>IFERROR(SUMIFS(Skill_Assessments!$D$2:$D$500,Skill_Assessments!$B$2:$B$500,$A22,Skill_Assessments!$C$2:$C$500,I1,Skill_Assessments!$A$2:$A$500,"&gt;="&amp;Setup!$B$4,Skill_Assessments!$A$2:$A$500,"&lt;="&amp;Setup!$B$5)/COUNTIFS(Skill_Assessments!$B$2:$B$500,$A22,Skill_Assessments!$C$2:$C$500,I1,Skill_Assessments!$A$2:$A$500,"&gt;="&amp;Setup!$B$4,Skill_Assessments!$A$2:$A$500,"&lt;="&amp;Setup!$B$5),"")</f>
        <v/>
      </c>
      <c r="J22" s="24">
        <f>IFERROR(SUMIFS(Skill_Assessments!$D$2:$D$500,Skill_Assessments!$B$2:$B$500,$A22,Skill_Assessments!$C$2:$C$500,J1,Skill_Assessments!$A$2:$A$500,"&gt;="&amp;Setup!$B$4,Skill_Assessments!$A$2:$A$500,"&lt;="&amp;Setup!$B$5)/COUNTIFS(Skill_Assessments!$B$2:$B$500,$A22,Skill_Assessments!$C$2:$C$500,J1,Skill_Assessments!$A$2:$A$500,"&gt;="&amp;Setup!$B$4,Skill_Assessments!$A$2:$A$500,"&lt;="&amp;Setup!$B$5),"")</f>
        <v/>
      </c>
      <c r="K22" s="24">
        <f>IFERROR(SUMPRODUCT(C22:J22,Skills_List!$D$2:$D$9)/(5*SUM(Skills_List!$D$2:$D$9))*100,"")</f>
        <v/>
      </c>
    </row>
    <row r="23">
      <c r="A23">
        <f>IF(Staff!A23&lt;&gt;"",Staff!A23,"")</f>
        <v/>
      </c>
      <c r="B23">
        <f>IF(A23&lt;&gt;"",VLOOKUP(A23,Staff!$A$2:$B$200,2,FALSE),"")</f>
        <v/>
      </c>
      <c r="C23" s="24">
        <f>IFERROR(SUMIFS(Skill_Assessments!$D$2:$D$500,Skill_Assessments!$B$2:$B$500,$A23,Skill_Assessments!$C$2:$C$500,C1,Skill_Assessments!$A$2:$A$500,"&gt;="&amp;Setup!$B$4,Skill_Assessments!$A$2:$A$500,"&lt;="&amp;Setup!$B$5)/COUNTIFS(Skill_Assessments!$B$2:$B$500,$A23,Skill_Assessments!$C$2:$C$500,C1,Skill_Assessments!$A$2:$A$500,"&gt;="&amp;Setup!$B$4,Skill_Assessments!$A$2:$A$500,"&lt;="&amp;Setup!$B$5),"")</f>
        <v/>
      </c>
      <c r="D23" s="24">
        <f>IFERROR(SUMIFS(Skill_Assessments!$D$2:$D$500,Skill_Assessments!$B$2:$B$500,$A23,Skill_Assessments!$C$2:$C$500,D1,Skill_Assessments!$A$2:$A$500,"&gt;="&amp;Setup!$B$4,Skill_Assessments!$A$2:$A$500,"&lt;="&amp;Setup!$B$5)/COUNTIFS(Skill_Assessments!$B$2:$B$500,$A23,Skill_Assessments!$C$2:$C$500,D1,Skill_Assessments!$A$2:$A$500,"&gt;="&amp;Setup!$B$4,Skill_Assessments!$A$2:$A$500,"&lt;="&amp;Setup!$B$5),"")</f>
        <v/>
      </c>
      <c r="E23" s="24">
        <f>IFERROR(SUMIFS(Skill_Assessments!$D$2:$D$500,Skill_Assessments!$B$2:$B$500,$A23,Skill_Assessments!$C$2:$C$500,E1,Skill_Assessments!$A$2:$A$500,"&gt;="&amp;Setup!$B$4,Skill_Assessments!$A$2:$A$500,"&lt;="&amp;Setup!$B$5)/COUNTIFS(Skill_Assessments!$B$2:$B$500,$A23,Skill_Assessments!$C$2:$C$500,E1,Skill_Assessments!$A$2:$A$500,"&gt;="&amp;Setup!$B$4,Skill_Assessments!$A$2:$A$500,"&lt;="&amp;Setup!$B$5),"")</f>
        <v/>
      </c>
      <c r="F23" s="24">
        <f>IFERROR(SUMIFS(Skill_Assessments!$D$2:$D$500,Skill_Assessments!$B$2:$B$500,$A23,Skill_Assessments!$C$2:$C$500,F1,Skill_Assessments!$A$2:$A$500,"&gt;="&amp;Setup!$B$4,Skill_Assessments!$A$2:$A$500,"&lt;="&amp;Setup!$B$5)/COUNTIFS(Skill_Assessments!$B$2:$B$500,$A23,Skill_Assessments!$C$2:$C$500,F1,Skill_Assessments!$A$2:$A$500,"&gt;="&amp;Setup!$B$4,Skill_Assessments!$A$2:$A$500,"&lt;="&amp;Setup!$B$5),"")</f>
        <v/>
      </c>
      <c r="G23" s="24">
        <f>IFERROR(SUMIFS(Skill_Assessments!$D$2:$D$500,Skill_Assessments!$B$2:$B$500,$A23,Skill_Assessments!$C$2:$C$500,G1,Skill_Assessments!$A$2:$A$500,"&gt;="&amp;Setup!$B$4,Skill_Assessments!$A$2:$A$500,"&lt;="&amp;Setup!$B$5)/COUNTIFS(Skill_Assessments!$B$2:$B$500,$A23,Skill_Assessments!$C$2:$C$500,G1,Skill_Assessments!$A$2:$A$500,"&gt;="&amp;Setup!$B$4,Skill_Assessments!$A$2:$A$500,"&lt;="&amp;Setup!$B$5),"")</f>
        <v/>
      </c>
      <c r="H23" s="24">
        <f>IFERROR(SUMIFS(Skill_Assessments!$D$2:$D$500,Skill_Assessments!$B$2:$B$500,$A23,Skill_Assessments!$C$2:$C$500,H1,Skill_Assessments!$A$2:$A$500,"&gt;="&amp;Setup!$B$4,Skill_Assessments!$A$2:$A$500,"&lt;="&amp;Setup!$B$5)/COUNTIFS(Skill_Assessments!$B$2:$B$500,$A23,Skill_Assessments!$C$2:$C$500,H1,Skill_Assessments!$A$2:$A$500,"&gt;="&amp;Setup!$B$4,Skill_Assessments!$A$2:$A$500,"&lt;="&amp;Setup!$B$5),"")</f>
        <v/>
      </c>
      <c r="I23" s="24">
        <f>IFERROR(SUMIFS(Skill_Assessments!$D$2:$D$500,Skill_Assessments!$B$2:$B$500,$A23,Skill_Assessments!$C$2:$C$500,I1,Skill_Assessments!$A$2:$A$500,"&gt;="&amp;Setup!$B$4,Skill_Assessments!$A$2:$A$500,"&lt;="&amp;Setup!$B$5)/COUNTIFS(Skill_Assessments!$B$2:$B$500,$A23,Skill_Assessments!$C$2:$C$500,I1,Skill_Assessments!$A$2:$A$500,"&gt;="&amp;Setup!$B$4,Skill_Assessments!$A$2:$A$500,"&lt;="&amp;Setup!$B$5),"")</f>
        <v/>
      </c>
      <c r="J23" s="24">
        <f>IFERROR(SUMIFS(Skill_Assessments!$D$2:$D$500,Skill_Assessments!$B$2:$B$500,$A23,Skill_Assessments!$C$2:$C$500,J1,Skill_Assessments!$A$2:$A$500,"&gt;="&amp;Setup!$B$4,Skill_Assessments!$A$2:$A$500,"&lt;="&amp;Setup!$B$5)/COUNTIFS(Skill_Assessments!$B$2:$B$500,$A23,Skill_Assessments!$C$2:$C$500,J1,Skill_Assessments!$A$2:$A$500,"&gt;="&amp;Setup!$B$4,Skill_Assessments!$A$2:$A$500,"&lt;="&amp;Setup!$B$5),"")</f>
        <v/>
      </c>
      <c r="K23" s="24">
        <f>IFERROR(SUMPRODUCT(C23:J23,Skills_List!$D$2:$D$9)/(5*SUM(Skills_List!$D$2:$D$9))*100,"")</f>
        <v/>
      </c>
    </row>
    <row r="24">
      <c r="A24">
        <f>IF(Staff!A24&lt;&gt;"",Staff!A24,"")</f>
        <v/>
      </c>
      <c r="B24">
        <f>IF(A24&lt;&gt;"",VLOOKUP(A24,Staff!$A$2:$B$200,2,FALSE),"")</f>
        <v/>
      </c>
      <c r="C24" s="24">
        <f>IFERROR(SUMIFS(Skill_Assessments!$D$2:$D$500,Skill_Assessments!$B$2:$B$500,$A24,Skill_Assessments!$C$2:$C$500,C1,Skill_Assessments!$A$2:$A$500,"&gt;="&amp;Setup!$B$4,Skill_Assessments!$A$2:$A$500,"&lt;="&amp;Setup!$B$5)/COUNTIFS(Skill_Assessments!$B$2:$B$500,$A24,Skill_Assessments!$C$2:$C$500,C1,Skill_Assessments!$A$2:$A$500,"&gt;="&amp;Setup!$B$4,Skill_Assessments!$A$2:$A$500,"&lt;="&amp;Setup!$B$5),"")</f>
        <v/>
      </c>
      <c r="D24" s="24">
        <f>IFERROR(SUMIFS(Skill_Assessments!$D$2:$D$500,Skill_Assessments!$B$2:$B$500,$A24,Skill_Assessments!$C$2:$C$500,D1,Skill_Assessments!$A$2:$A$500,"&gt;="&amp;Setup!$B$4,Skill_Assessments!$A$2:$A$500,"&lt;="&amp;Setup!$B$5)/COUNTIFS(Skill_Assessments!$B$2:$B$500,$A24,Skill_Assessments!$C$2:$C$500,D1,Skill_Assessments!$A$2:$A$500,"&gt;="&amp;Setup!$B$4,Skill_Assessments!$A$2:$A$500,"&lt;="&amp;Setup!$B$5),"")</f>
        <v/>
      </c>
      <c r="E24" s="24">
        <f>IFERROR(SUMIFS(Skill_Assessments!$D$2:$D$500,Skill_Assessments!$B$2:$B$500,$A24,Skill_Assessments!$C$2:$C$500,E1,Skill_Assessments!$A$2:$A$500,"&gt;="&amp;Setup!$B$4,Skill_Assessments!$A$2:$A$500,"&lt;="&amp;Setup!$B$5)/COUNTIFS(Skill_Assessments!$B$2:$B$500,$A24,Skill_Assessments!$C$2:$C$500,E1,Skill_Assessments!$A$2:$A$500,"&gt;="&amp;Setup!$B$4,Skill_Assessments!$A$2:$A$500,"&lt;="&amp;Setup!$B$5),"")</f>
        <v/>
      </c>
      <c r="F24" s="24">
        <f>IFERROR(SUMIFS(Skill_Assessments!$D$2:$D$500,Skill_Assessments!$B$2:$B$500,$A24,Skill_Assessments!$C$2:$C$500,F1,Skill_Assessments!$A$2:$A$500,"&gt;="&amp;Setup!$B$4,Skill_Assessments!$A$2:$A$500,"&lt;="&amp;Setup!$B$5)/COUNTIFS(Skill_Assessments!$B$2:$B$500,$A24,Skill_Assessments!$C$2:$C$500,F1,Skill_Assessments!$A$2:$A$500,"&gt;="&amp;Setup!$B$4,Skill_Assessments!$A$2:$A$500,"&lt;="&amp;Setup!$B$5),"")</f>
        <v/>
      </c>
      <c r="G24" s="24">
        <f>IFERROR(SUMIFS(Skill_Assessments!$D$2:$D$500,Skill_Assessments!$B$2:$B$500,$A24,Skill_Assessments!$C$2:$C$500,G1,Skill_Assessments!$A$2:$A$500,"&gt;="&amp;Setup!$B$4,Skill_Assessments!$A$2:$A$500,"&lt;="&amp;Setup!$B$5)/COUNTIFS(Skill_Assessments!$B$2:$B$500,$A24,Skill_Assessments!$C$2:$C$500,G1,Skill_Assessments!$A$2:$A$500,"&gt;="&amp;Setup!$B$4,Skill_Assessments!$A$2:$A$500,"&lt;="&amp;Setup!$B$5),"")</f>
        <v/>
      </c>
      <c r="H24" s="24">
        <f>IFERROR(SUMIFS(Skill_Assessments!$D$2:$D$500,Skill_Assessments!$B$2:$B$500,$A24,Skill_Assessments!$C$2:$C$500,H1,Skill_Assessments!$A$2:$A$500,"&gt;="&amp;Setup!$B$4,Skill_Assessments!$A$2:$A$500,"&lt;="&amp;Setup!$B$5)/COUNTIFS(Skill_Assessments!$B$2:$B$500,$A24,Skill_Assessments!$C$2:$C$500,H1,Skill_Assessments!$A$2:$A$500,"&gt;="&amp;Setup!$B$4,Skill_Assessments!$A$2:$A$500,"&lt;="&amp;Setup!$B$5),"")</f>
        <v/>
      </c>
      <c r="I24" s="24">
        <f>IFERROR(SUMIFS(Skill_Assessments!$D$2:$D$500,Skill_Assessments!$B$2:$B$500,$A24,Skill_Assessments!$C$2:$C$500,I1,Skill_Assessments!$A$2:$A$500,"&gt;="&amp;Setup!$B$4,Skill_Assessments!$A$2:$A$500,"&lt;="&amp;Setup!$B$5)/COUNTIFS(Skill_Assessments!$B$2:$B$500,$A24,Skill_Assessments!$C$2:$C$500,I1,Skill_Assessments!$A$2:$A$500,"&gt;="&amp;Setup!$B$4,Skill_Assessments!$A$2:$A$500,"&lt;="&amp;Setup!$B$5),"")</f>
        <v/>
      </c>
      <c r="J24" s="24">
        <f>IFERROR(SUMIFS(Skill_Assessments!$D$2:$D$500,Skill_Assessments!$B$2:$B$500,$A24,Skill_Assessments!$C$2:$C$500,J1,Skill_Assessments!$A$2:$A$500,"&gt;="&amp;Setup!$B$4,Skill_Assessments!$A$2:$A$500,"&lt;="&amp;Setup!$B$5)/COUNTIFS(Skill_Assessments!$B$2:$B$500,$A24,Skill_Assessments!$C$2:$C$500,J1,Skill_Assessments!$A$2:$A$500,"&gt;="&amp;Setup!$B$4,Skill_Assessments!$A$2:$A$500,"&lt;="&amp;Setup!$B$5),"")</f>
        <v/>
      </c>
      <c r="K24" s="24">
        <f>IFERROR(SUMPRODUCT(C24:J24,Skills_List!$D$2:$D$9)/(5*SUM(Skills_List!$D$2:$D$9))*100,"")</f>
        <v/>
      </c>
    </row>
    <row r="25">
      <c r="A25">
        <f>IF(Staff!A25&lt;&gt;"",Staff!A25,"")</f>
        <v/>
      </c>
      <c r="B25">
        <f>IF(A25&lt;&gt;"",VLOOKUP(A25,Staff!$A$2:$B$200,2,FALSE),"")</f>
        <v/>
      </c>
      <c r="C25" s="24">
        <f>IFERROR(SUMIFS(Skill_Assessments!$D$2:$D$500,Skill_Assessments!$B$2:$B$500,$A25,Skill_Assessments!$C$2:$C$500,C1,Skill_Assessments!$A$2:$A$500,"&gt;="&amp;Setup!$B$4,Skill_Assessments!$A$2:$A$500,"&lt;="&amp;Setup!$B$5)/COUNTIFS(Skill_Assessments!$B$2:$B$500,$A25,Skill_Assessments!$C$2:$C$500,C1,Skill_Assessments!$A$2:$A$500,"&gt;="&amp;Setup!$B$4,Skill_Assessments!$A$2:$A$500,"&lt;="&amp;Setup!$B$5),"")</f>
        <v/>
      </c>
      <c r="D25" s="24">
        <f>IFERROR(SUMIFS(Skill_Assessments!$D$2:$D$500,Skill_Assessments!$B$2:$B$500,$A25,Skill_Assessments!$C$2:$C$500,D1,Skill_Assessments!$A$2:$A$500,"&gt;="&amp;Setup!$B$4,Skill_Assessments!$A$2:$A$500,"&lt;="&amp;Setup!$B$5)/COUNTIFS(Skill_Assessments!$B$2:$B$500,$A25,Skill_Assessments!$C$2:$C$500,D1,Skill_Assessments!$A$2:$A$500,"&gt;="&amp;Setup!$B$4,Skill_Assessments!$A$2:$A$500,"&lt;="&amp;Setup!$B$5),"")</f>
        <v/>
      </c>
      <c r="E25" s="24">
        <f>IFERROR(SUMIFS(Skill_Assessments!$D$2:$D$500,Skill_Assessments!$B$2:$B$500,$A25,Skill_Assessments!$C$2:$C$500,E1,Skill_Assessments!$A$2:$A$500,"&gt;="&amp;Setup!$B$4,Skill_Assessments!$A$2:$A$500,"&lt;="&amp;Setup!$B$5)/COUNTIFS(Skill_Assessments!$B$2:$B$500,$A25,Skill_Assessments!$C$2:$C$500,E1,Skill_Assessments!$A$2:$A$500,"&gt;="&amp;Setup!$B$4,Skill_Assessments!$A$2:$A$500,"&lt;="&amp;Setup!$B$5),"")</f>
        <v/>
      </c>
      <c r="F25" s="24">
        <f>IFERROR(SUMIFS(Skill_Assessments!$D$2:$D$500,Skill_Assessments!$B$2:$B$500,$A25,Skill_Assessments!$C$2:$C$500,F1,Skill_Assessments!$A$2:$A$500,"&gt;="&amp;Setup!$B$4,Skill_Assessments!$A$2:$A$500,"&lt;="&amp;Setup!$B$5)/COUNTIFS(Skill_Assessments!$B$2:$B$500,$A25,Skill_Assessments!$C$2:$C$500,F1,Skill_Assessments!$A$2:$A$500,"&gt;="&amp;Setup!$B$4,Skill_Assessments!$A$2:$A$500,"&lt;="&amp;Setup!$B$5),"")</f>
        <v/>
      </c>
      <c r="G25" s="24">
        <f>IFERROR(SUMIFS(Skill_Assessments!$D$2:$D$500,Skill_Assessments!$B$2:$B$500,$A25,Skill_Assessments!$C$2:$C$500,G1,Skill_Assessments!$A$2:$A$500,"&gt;="&amp;Setup!$B$4,Skill_Assessments!$A$2:$A$500,"&lt;="&amp;Setup!$B$5)/COUNTIFS(Skill_Assessments!$B$2:$B$500,$A25,Skill_Assessments!$C$2:$C$500,G1,Skill_Assessments!$A$2:$A$500,"&gt;="&amp;Setup!$B$4,Skill_Assessments!$A$2:$A$500,"&lt;="&amp;Setup!$B$5),"")</f>
        <v/>
      </c>
      <c r="H25" s="24">
        <f>IFERROR(SUMIFS(Skill_Assessments!$D$2:$D$500,Skill_Assessments!$B$2:$B$500,$A25,Skill_Assessments!$C$2:$C$500,H1,Skill_Assessments!$A$2:$A$500,"&gt;="&amp;Setup!$B$4,Skill_Assessments!$A$2:$A$500,"&lt;="&amp;Setup!$B$5)/COUNTIFS(Skill_Assessments!$B$2:$B$500,$A25,Skill_Assessments!$C$2:$C$500,H1,Skill_Assessments!$A$2:$A$500,"&gt;="&amp;Setup!$B$4,Skill_Assessments!$A$2:$A$500,"&lt;="&amp;Setup!$B$5),"")</f>
        <v/>
      </c>
      <c r="I25" s="24">
        <f>IFERROR(SUMIFS(Skill_Assessments!$D$2:$D$500,Skill_Assessments!$B$2:$B$500,$A25,Skill_Assessments!$C$2:$C$500,I1,Skill_Assessments!$A$2:$A$500,"&gt;="&amp;Setup!$B$4,Skill_Assessments!$A$2:$A$500,"&lt;="&amp;Setup!$B$5)/COUNTIFS(Skill_Assessments!$B$2:$B$500,$A25,Skill_Assessments!$C$2:$C$500,I1,Skill_Assessments!$A$2:$A$500,"&gt;="&amp;Setup!$B$4,Skill_Assessments!$A$2:$A$500,"&lt;="&amp;Setup!$B$5),"")</f>
        <v/>
      </c>
      <c r="J25" s="24">
        <f>IFERROR(SUMIFS(Skill_Assessments!$D$2:$D$500,Skill_Assessments!$B$2:$B$500,$A25,Skill_Assessments!$C$2:$C$500,J1,Skill_Assessments!$A$2:$A$500,"&gt;="&amp;Setup!$B$4,Skill_Assessments!$A$2:$A$500,"&lt;="&amp;Setup!$B$5)/COUNTIFS(Skill_Assessments!$B$2:$B$500,$A25,Skill_Assessments!$C$2:$C$500,J1,Skill_Assessments!$A$2:$A$500,"&gt;="&amp;Setup!$B$4,Skill_Assessments!$A$2:$A$500,"&lt;="&amp;Setup!$B$5),"")</f>
        <v/>
      </c>
      <c r="K25" s="24">
        <f>IFERROR(SUMPRODUCT(C25:J25,Skills_List!$D$2:$D$9)/(5*SUM(Skills_List!$D$2:$D$9))*100,"")</f>
        <v/>
      </c>
    </row>
    <row r="26">
      <c r="A26">
        <f>IF(Staff!A26&lt;&gt;"",Staff!A26,"")</f>
        <v/>
      </c>
      <c r="B26">
        <f>IF(A26&lt;&gt;"",VLOOKUP(A26,Staff!$A$2:$B$200,2,FALSE),"")</f>
        <v/>
      </c>
      <c r="C26" s="24">
        <f>IFERROR(SUMIFS(Skill_Assessments!$D$2:$D$500,Skill_Assessments!$B$2:$B$500,$A26,Skill_Assessments!$C$2:$C$500,C1,Skill_Assessments!$A$2:$A$500,"&gt;="&amp;Setup!$B$4,Skill_Assessments!$A$2:$A$500,"&lt;="&amp;Setup!$B$5)/COUNTIFS(Skill_Assessments!$B$2:$B$500,$A26,Skill_Assessments!$C$2:$C$500,C1,Skill_Assessments!$A$2:$A$500,"&gt;="&amp;Setup!$B$4,Skill_Assessments!$A$2:$A$500,"&lt;="&amp;Setup!$B$5),"")</f>
        <v/>
      </c>
      <c r="D26" s="24">
        <f>IFERROR(SUMIFS(Skill_Assessments!$D$2:$D$500,Skill_Assessments!$B$2:$B$500,$A26,Skill_Assessments!$C$2:$C$500,D1,Skill_Assessments!$A$2:$A$500,"&gt;="&amp;Setup!$B$4,Skill_Assessments!$A$2:$A$500,"&lt;="&amp;Setup!$B$5)/COUNTIFS(Skill_Assessments!$B$2:$B$500,$A26,Skill_Assessments!$C$2:$C$500,D1,Skill_Assessments!$A$2:$A$500,"&gt;="&amp;Setup!$B$4,Skill_Assessments!$A$2:$A$500,"&lt;="&amp;Setup!$B$5),"")</f>
        <v/>
      </c>
      <c r="E26" s="24">
        <f>IFERROR(SUMIFS(Skill_Assessments!$D$2:$D$500,Skill_Assessments!$B$2:$B$500,$A26,Skill_Assessments!$C$2:$C$500,E1,Skill_Assessments!$A$2:$A$500,"&gt;="&amp;Setup!$B$4,Skill_Assessments!$A$2:$A$500,"&lt;="&amp;Setup!$B$5)/COUNTIFS(Skill_Assessments!$B$2:$B$500,$A26,Skill_Assessments!$C$2:$C$500,E1,Skill_Assessments!$A$2:$A$500,"&gt;="&amp;Setup!$B$4,Skill_Assessments!$A$2:$A$500,"&lt;="&amp;Setup!$B$5),"")</f>
        <v/>
      </c>
      <c r="F26" s="24">
        <f>IFERROR(SUMIFS(Skill_Assessments!$D$2:$D$500,Skill_Assessments!$B$2:$B$500,$A26,Skill_Assessments!$C$2:$C$500,F1,Skill_Assessments!$A$2:$A$500,"&gt;="&amp;Setup!$B$4,Skill_Assessments!$A$2:$A$500,"&lt;="&amp;Setup!$B$5)/COUNTIFS(Skill_Assessments!$B$2:$B$500,$A26,Skill_Assessments!$C$2:$C$500,F1,Skill_Assessments!$A$2:$A$500,"&gt;="&amp;Setup!$B$4,Skill_Assessments!$A$2:$A$500,"&lt;="&amp;Setup!$B$5),"")</f>
        <v/>
      </c>
      <c r="G26" s="24">
        <f>IFERROR(SUMIFS(Skill_Assessments!$D$2:$D$500,Skill_Assessments!$B$2:$B$500,$A26,Skill_Assessments!$C$2:$C$500,G1,Skill_Assessments!$A$2:$A$500,"&gt;="&amp;Setup!$B$4,Skill_Assessments!$A$2:$A$500,"&lt;="&amp;Setup!$B$5)/COUNTIFS(Skill_Assessments!$B$2:$B$500,$A26,Skill_Assessments!$C$2:$C$500,G1,Skill_Assessments!$A$2:$A$500,"&gt;="&amp;Setup!$B$4,Skill_Assessments!$A$2:$A$500,"&lt;="&amp;Setup!$B$5),"")</f>
        <v/>
      </c>
      <c r="H26" s="24">
        <f>IFERROR(SUMIFS(Skill_Assessments!$D$2:$D$500,Skill_Assessments!$B$2:$B$500,$A26,Skill_Assessments!$C$2:$C$500,H1,Skill_Assessments!$A$2:$A$500,"&gt;="&amp;Setup!$B$4,Skill_Assessments!$A$2:$A$500,"&lt;="&amp;Setup!$B$5)/COUNTIFS(Skill_Assessments!$B$2:$B$500,$A26,Skill_Assessments!$C$2:$C$500,H1,Skill_Assessments!$A$2:$A$500,"&gt;="&amp;Setup!$B$4,Skill_Assessments!$A$2:$A$500,"&lt;="&amp;Setup!$B$5),"")</f>
        <v/>
      </c>
      <c r="I26" s="24">
        <f>IFERROR(SUMIFS(Skill_Assessments!$D$2:$D$500,Skill_Assessments!$B$2:$B$500,$A26,Skill_Assessments!$C$2:$C$500,I1,Skill_Assessments!$A$2:$A$500,"&gt;="&amp;Setup!$B$4,Skill_Assessments!$A$2:$A$500,"&lt;="&amp;Setup!$B$5)/COUNTIFS(Skill_Assessments!$B$2:$B$500,$A26,Skill_Assessments!$C$2:$C$500,I1,Skill_Assessments!$A$2:$A$500,"&gt;="&amp;Setup!$B$4,Skill_Assessments!$A$2:$A$500,"&lt;="&amp;Setup!$B$5),"")</f>
        <v/>
      </c>
      <c r="J26" s="24">
        <f>IFERROR(SUMIFS(Skill_Assessments!$D$2:$D$500,Skill_Assessments!$B$2:$B$500,$A26,Skill_Assessments!$C$2:$C$500,J1,Skill_Assessments!$A$2:$A$500,"&gt;="&amp;Setup!$B$4,Skill_Assessments!$A$2:$A$500,"&lt;="&amp;Setup!$B$5)/COUNTIFS(Skill_Assessments!$B$2:$B$500,$A26,Skill_Assessments!$C$2:$C$500,J1,Skill_Assessments!$A$2:$A$500,"&gt;="&amp;Setup!$B$4,Skill_Assessments!$A$2:$A$500,"&lt;="&amp;Setup!$B$5),"")</f>
        <v/>
      </c>
      <c r="K26" s="24">
        <f>IFERROR(SUMPRODUCT(C26:J26,Skills_List!$D$2:$D$9)/(5*SUM(Skills_List!$D$2:$D$9))*100,"")</f>
        <v/>
      </c>
    </row>
    <row r="27">
      <c r="A27">
        <f>IF(Staff!A27&lt;&gt;"",Staff!A27,"")</f>
        <v/>
      </c>
      <c r="B27">
        <f>IF(A27&lt;&gt;"",VLOOKUP(A27,Staff!$A$2:$B$200,2,FALSE),"")</f>
        <v/>
      </c>
      <c r="C27" s="24">
        <f>IFERROR(SUMIFS(Skill_Assessments!$D$2:$D$500,Skill_Assessments!$B$2:$B$500,$A27,Skill_Assessments!$C$2:$C$500,C1,Skill_Assessments!$A$2:$A$500,"&gt;="&amp;Setup!$B$4,Skill_Assessments!$A$2:$A$500,"&lt;="&amp;Setup!$B$5)/COUNTIFS(Skill_Assessments!$B$2:$B$500,$A27,Skill_Assessments!$C$2:$C$500,C1,Skill_Assessments!$A$2:$A$500,"&gt;="&amp;Setup!$B$4,Skill_Assessments!$A$2:$A$500,"&lt;="&amp;Setup!$B$5),"")</f>
        <v/>
      </c>
      <c r="D27" s="24">
        <f>IFERROR(SUMIFS(Skill_Assessments!$D$2:$D$500,Skill_Assessments!$B$2:$B$500,$A27,Skill_Assessments!$C$2:$C$500,D1,Skill_Assessments!$A$2:$A$500,"&gt;="&amp;Setup!$B$4,Skill_Assessments!$A$2:$A$500,"&lt;="&amp;Setup!$B$5)/COUNTIFS(Skill_Assessments!$B$2:$B$500,$A27,Skill_Assessments!$C$2:$C$500,D1,Skill_Assessments!$A$2:$A$500,"&gt;="&amp;Setup!$B$4,Skill_Assessments!$A$2:$A$500,"&lt;="&amp;Setup!$B$5),"")</f>
        <v/>
      </c>
      <c r="E27" s="24">
        <f>IFERROR(SUMIFS(Skill_Assessments!$D$2:$D$500,Skill_Assessments!$B$2:$B$500,$A27,Skill_Assessments!$C$2:$C$500,E1,Skill_Assessments!$A$2:$A$500,"&gt;="&amp;Setup!$B$4,Skill_Assessments!$A$2:$A$500,"&lt;="&amp;Setup!$B$5)/COUNTIFS(Skill_Assessments!$B$2:$B$500,$A27,Skill_Assessments!$C$2:$C$500,E1,Skill_Assessments!$A$2:$A$500,"&gt;="&amp;Setup!$B$4,Skill_Assessments!$A$2:$A$500,"&lt;="&amp;Setup!$B$5),"")</f>
        <v/>
      </c>
      <c r="F27" s="24">
        <f>IFERROR(SUMIFS(Skill_Assessments!$D$2:$D$500,Skill_Assessments!$B$2:$B$500,$A27,Skill_Assessments!$C$2:$C$500,F1,Skill_Assessments!$A$2:$A$500,"&gt;="&amp;Setup!$B$4,Skill_Assessments!$A$2:$A$500,"&lt;="&amp;Setup!$B$5)/COUNTIFS(Skill_Assessments!$B$2:$B$500,$A27,Skill_Assessments!$C$2:$C$500,F1,Skill_Assessments!$A$2:$A$500,"&gt;="&amp;Setup!$B$4,Skill_Assessments!$A$2:$A$500,"&lt;="&amp;Setup!$B$5),"")</f>
        <v/>
      </c>
      <c r="G27" s="24">
        <f>IFERROR(SUMIFS(Skill_Assessments!$D$2:$D$500,Skill_Assessments!$B$2:$B$500,$A27,Skill_Assessments!$C$2:$C$500,G1,Skill_Assessments!$A$2:$A$500,"&gt;="&amp;Setup!$B$4,Skill_Assessments!$A$2:$A$500,"&lt;="&amp;Setup!$B$5)/COUNTIFS(Skill_Assessments!$B$2:$B$500,$A27,Skill_Assessments!$C$2:$C$500,G1,Skill_Assessments!$A$2:$A$500,"&gt;="&amp;Setup!$B$4,Skill_Assessments!$A$2:$A$500,"&lt;="&amp;Setup!$B$5),"")</f>
        <v/>
      </c>
      <c r="H27" s="24">
        <f>IFERROR(SUMIFS(Skill_Assessments!$D$2:$D$500,Skill_Assessments!$B$2:$B$500,$A27,Skill_Assessments!$C$2:$C$500,H1,Skill_Assessments!$A$2:$A$500,"&gt;="&amp;Setup!$B$4,Skill_Assessments!$A$2:$A$500,"&lt;="&amp;Setup!$B$5)/COUNTIFS(Skill_Assessments!$B$2:$B$500,$A27,Skill_Assessments!$C$2:$C$500,H1,Skill_Assessments!$A$2:$A$500,"&gt;="&amp;Setup!$B$4,Skill_Assessments!$A$2:$A$500,"&lt;="&amp;Setup!$B$5),"")</f>
        <v/>
      </c>
      <c r="I27" s="24">
        <f>IFERROR(SUMIFS(Skill_Assessments!$D$2:$D$500,Skill_Assessments!$B$2:$B$500,$A27,Skill_Assessments!$C$2:$C$500,I1,Skill_Assessments!$A$2:$A$500,"&gt;="&amp;Setup!$B$4,Skill_Assessments!$A$2:$A$500,"&lt;="&amp;Setup!$B$5)/COUNTIFS(Skill_Assessments!$B$2:$B$500,$A27,Skill_Assessments!$C$2:$C$500,I1,Skill_Assessments!$A$2:$A$500,"&gt;="&amp;Setup!$B$4,Skill_Assessments!$A$2:$A$500,"&lt;="&amp;Setup!$B$5),"")</f>
        <v/>
      </c>
      <c r="J27" s="24">
        <f>IFERROR(SUMIFS(Skill_Assessments!$D$2:$D$500,Skill_Assessments!$B$2:$B$500,$A27,Skill_Assessments!$C$2:$C$500,J1,Skill_Assessments!$A$2:$A$500,"&gt;="&amp;Setup!$B$4,Skill_Assessments!$A$2:$A$500,"&lt;="&amp;Setup!$B$5)/COUNTIFS(Skill_Assessments!$B$2:$B$500,$A27,Skill_Assessments!$C$2:$C$500,J1,Skill_Assessments!$A$2:$A$500,"&gt;="&amp;Setup!$B$4,Skill_Assessments!$A$2:$A$500,"&lt;="&amp;Setup!$B$5),"")</f>
        <v/>
      </c>
      <c r="K27" s="24">
        <f>IFERROR(SUMPRODUCT(C27:J27,Skills_List!$D$2:$D$9)/(5*SUM(Skills_List!$D$2:$D$9))*100,"")</f>
        <v/>
      </c>
    </row>
    <row r="28">
      <c r="A28">
        <f>IF(Staff!A28&lt;&gt;"",Staff!A28,"")</f>
        <v/>
      </c>
      <c r="B28">
        <f>IF(A28&lt;&gt;"",VLOOKUP(A28,Staff!$A$2:$B$200,2,FALSE),"")</f>
        <v/>
      </c>
      <c r="C28" s="24">
        <f>IFERROR(SUMIFS(Skill_Assessments!$D$2:$D$500,Skill_Assessments!$B$2:$B$500,$A28,Skill_Assessments!$C$2:$C$500,C1,Skill_Assessments!$A$2:$A$500,"&gt;="&amp;Setup!$B$4,Skill_Assessments!$A$2:$A$500,"&lt;="&amp;Setup!$B$5)/COUNTIFS(Skill_Assessments!$B$2:$B$500,$A28,Skill_Assessments!$C$2:$C$500,C1,Skill_Assessments!$A$2:$A$500,"&gt;="&amp;Setup!$B$4,Skill_Assessments!$A$2:$A$500,"&lt;="&amp;Setup!$B$5),"")</f>
        <v/>
      </c>
      <c r="D28" s="24">
        <f>IFERROR(SUMIFS(Skill_Assessments!$D$2:$D$500,Skill_Assessments!$B$2:$B$500,$A28,Skill_Assessments!$C$2:$C$500,D1,Skill_Assessments!$A$2:$A$500,"&gt;="&amp;Setup!$B$4,Skill_Assessments!$A$2:$A$500,"&lt;="&amp;Setup!$B$5)/COUNTIFS(Skill_Assessments!$B$2:$B$500,$A28,Skill_Assessments!$C$2:$C$500,D1,Skill_Assessments!$A$2:$A$500,"&gt;="&amp;Setup!$B$4,Skill_Assessments!$A$2:$A$500,"&lt;="&amp;Setup!$B$5),"")</f>
        <v/>
      </c>
      <c r="E28" s="24">
        <f>IFERROR(SUMIFS(Skill_Assessments!$D$2:$D$500,Skill_Assessments!$B$2:$B$500,$A28,Skill_Assessments!$C$2:$C$500,E1,Skill_Assessments!$A$2:$A$500,"&gt;="&amp;Setup!$B$4,Skill_Assessments!$A$2:$A$500,"&lt;="&amp;Setup!$B$5)/COUNTIFS(Skill_Assessments!$B$2:$B$500,$A28,Skill_Assessments!$C$2:$C$500,E1,Skill_Assessments!$A$2:$A$500,"&gt;="&amp;Setup!$B$4,Skill_Assessments!$A$2:$A$500,"&lt;="&amp;Setup!$B$5),"")</f>
        <v/>
      </c>
      <c r="F28" s="24">
        <f>IFERROR(SUMIFS(Skill_Assessments!$D$2:$D$500,Skill_Assessments!$B$2:$B$500,$A28,Skill_Assessments!$C$2:$C$500,F1,Skill_Assessments!$A$2:$A$500,"&gt;="&amp;Setup!$B$4,Skill_Assessments!$A$2:$A$500,"&lt;="&amp;Setup!$B$5)/COUNTIFS(Skill_Assessments!$B$2:$B$500,$A28,Skill_Assessments!$C$2:$C$500,F1,Skill_Assessments!$A$2:$A$500,"&gt;="&amp;Setup!$B$4,Skill_Assessments!$A$2:$A$500,"&lt;="&amp;Setup!$B$5),"")</f>
        <v/>
      </c>
      <c r="G28" s="24">
        <f>IFERROR(SUMIFS(Skill_Assessments!$D$2:$D$500,Skill_Assessments!$B$2:$B$500,$A28,Skill_Assessments!$C$2:$C$500,G1,Skill_Assessments!$A$2:$A$500,"&gt;="&amp;Setup!$B$4,Skill_Assessments!$A$2:$A$500,"&lt;="&amp;Setup!$B$5)/COUNTIFS(Skill_Assessments!$B$2:$B$500,$A28,Skill_Assessments!$C$2:$C$500,G1,Skill_Assessments!$A$2:$A$500,"&gt;="&amp;Setup!$B$4,Skill_Assessments!$A$2:$A$500,"&lt;="&amp;Setup!$B$5),"")</f>
        <v/>
      </c>
      <c r="H28" s="24">
        <f>IFERROR(SUMIFS(Skill_Assessments!$D$2:$D$500,Skill_Assessments!$B$2:$B$500,$A28,Skill_Assessments!$C$2:$C$500,H1,Skill_Assessments!$A$2:$A$500,"&gt;="&amp;Setup!$B$4,Skill_Assessments!$A$2:$A$500,"&lt;="&amp;Setup!$B$5)/COUNTIFS(Skill_Assessments!$B$2:$B$500,$A28,Skill_Assessments!$C$2:$C$500,H1,Skill_Assessments!$A$2:$A$500,"&gt;="&amp;Setup!$B$4,Skill_Assessments!$A$2:$A$500,"&lt;="&amp;Setup!$B$5),"")</f>
        <v/>
      </c>
      <c r="I28" s="24">
        <f>IFERROR(SUMIFS(Skill_Assessments!$D$2:$D$500,Skill_Assessments!$B$2:$B$500,$A28,Skill_Assessments!$C$2:$C$500,I1,Skill_Assessments!$A$2:$A$500,"&gt;="&amp;Setup!$B$4,Skill_Assessments!$A$2:$A$500,"&lt;="&amp;Setup!$B$5)/COUNTIFS(Skill_Assessments!$B$2:$B$500,$A28,Skill_Assessments!$C$2:$C$500,I1,Skill_Assessments!$A$2:$A$500,"&gt;="&amp;Setup!$B$4,Skill_Assessments!$A$2:$A$500,"&lt;="&amp;Setup!$B$5),"")</f>
        <v/>
      </c>
      <c r="J28" s="24">
        <f>IFERROR(SUMIFS(Skill_Assessments!$D$2:$D$500,Skill_Assessments!$B$2:$B$500,$A28,Skill_Assessments!$C$2:$C$500,J1,Skill_Assessments!$A$2:$A$500,"&gt;="&amp;Setup!$B$4,Skill_Assessments!$A$2:$A$500,"&lt;="&amp;Setup!$B$5)/COUNTIFS(Skill_Assessments!$B$2:$B$500,$A28,Skill_Assessments!$C$2:$C$500,J1,Skill_Assessments!$A$2:$A$500,"&gt;="&amp;Setup!$B$4,Skill_Assessments!$A$2:$A$500,"&lt;="&amp;Setup!$B$5),"")</f>
        <v/>
      </c>
      <c r="K28" s="24">
        <f>IFERROR(SUMPRODUCT(C28:J28,Skills_List!$D$2:$D$9)/(5*SUM(Skills_List!$D$2:$D$9))*100,"")</f>
        <v/>
      </c>
    </row>
    <row r="29">
      <c r="A29">
        <f>IF(Staff!A29&lt;&gt;"",Staff!A29,"")</f>
        <v/>
      </c>
      <c r="B29">
        <f>IF(A29&lt;&gt;"",VLOOKUP(A29,Staff!$A$2:$B$200,2,FALSE),"")</f>
        <v/>
      </c>
      <c r="C29" s="24">
        <f>IFERROR(SUMIFS(Skill_Assessments!$D$2:$D$500,Skill_Assessments!$B$2:$B$500,$A29,Skill_Assessments!$C$2:$C$500,C1,Skill_Assessments!$A$2:$A$500,"&gt;="&amp;Setup!$B$4,Skill_Assessments!$A$2:$A$500,"&lt;="&amp;Setup!$B$5)/COUNTIFS(Skill_Assessments!$B$2:$B$500,$A29,Skill_Assessments!$C$2:$C$500,C1,Skill_Assessments!$A$2:$A$500,"&gt;="&amp;Setup!$B$4,Skill_Assessments!$A$2:$A$500,"&lt;="&amp;Setup!$B$5),"")</f>
        <v/>
      </c>
      <c r="D29" s="24">
        <f>IFERROR(SUMIFS(Skill_Assessments!$D$2:$D$500,Skill_Assessments!$B$2:$B$500,$A29,Skill_Assessments!$C$2:$C$500,D1,Skill_Assessments!$A$2:$A$500,"&gt;="&amp;Setup!$B$4,Skill_Assessments!$A$2:$A$500,"&lt;="&amp;Setup!$B$5)/COUNTIFS(Skill_Assessments!$B$2:$B$500,$A29,Skill_Assessments!$C$2:$C$500,D1,Skill_Assessments!$A$2:$A$500,"&gt;="&amp;Setup!$B$4,Skill_Assessments!$A$2:$A$500,"&lt;="&amp;Setup!$B$5),"")</f>
        <v/>
      </c>
      <c r="E29" s="24">
        <f>IFERROR(SUMIFS(Skill_Assessments!$D$2:$D$500,Skill_Assessments!$B$2:$B$500,$A29,Skill_Assessments!$C$2:$C$500,E1,Skill_Assessments!$A$2:$A$500,"&gt;="&amp;Setup!$B$4,Skill_Assessments!$A$2:$A$500,"&lt;="&amp;Setup!$B$5)/COUNTIFS(Skill_Assessments!$B$2:$B$500,$A29,Skill_Assessments!$C$2:$C$500,E1,Skill_Assessments!$A$2:$A$500,"&gt;="&amp;Setup!$B$4,Skill_Assessments!$A$2:$A$500,"&lt;="&amp;Setup!$B$5),"")</f>
        <v/>
      </c>
      <c r="F29" s="24">
        <f>IFERROR(SUMIFS(Skill_Assessments!$D$2:$D$500,Skill_Assessments!$B$2:$B$500,$A29,Skill_Assessments!$C$2:$C$500,F1,Skill_Assessments!$A$2:$A$500,"&gt;="&amp;Setup!$B$4,Skill_Assessments!$A$2:$A$500,"&lt;="&amp;Setup!$B$5)/COUNTIFS(Skill_Assessments!$B$2:$B$500,$A29,Skill_Assessments!$C$2:$C$500,F1,Skill_Assessments!$A$2:$A$500,"&gt;="&amp;Setup!$B$4,Skill_Assessments!$A$2:$A$500,"&lt;="&amp;Setup!$B$5),"")</f>
        <v/>
      </c>
      <c r="G29" s="24">
        <f>IFERROR(SUMIFS(Skill_Assessments!$D$2:$D$500,Skill_Assessments!$B$2:$B$500,$A29,Skill_Assessments!$C$2:$C$500,G1,Skill_Assessments!$A$2:$A$500,"&gt;="&amp;Setup!$B$4,Skill_Assessments!$A$2:$A$500,"&lt;="&amp;Setup!$B$5)/COUNTIFS(Skill_Assessments!$B$2:$B$500,$A29,Skill_Assessments!$C$2:$C$500,G1,Skill_Assessments!$A$2:$A$500,"&gt;="&amp;Setup!$B$4,Skill_Assessments!$A$2:$A$500,"&lt;="&amp;Setup!$B$5),"")</f>
        <v/>
      </c>
      <c r="H29" s="24">
        <f>IFERROR(SUMIFS(Skill_Assessments!$D$2:$D$500,Skill_Assessments!$B$2:$B$500,$A29,Skill_Assessments!$C$2:$C$500,H1,Skill_Assessments!$A$2:$A$500,"&gt;="&amp;Setup!$B$4,Skill_Assessments!$A$2:$A$500,"&lt;="&amp;Setup!$B$5)/COUNTIFS(Skill_Assessments!$B$2:$B$500,$A29,Skill_Assessments!$C$2:$C$500,H1,Skill_Assessments!$A$2:$A$500,"&gt;="&amp;Setup!$B$4,Skill_Assessments!$A$2:$A$500,"&lt;="&amp;Setup!$B$5),"")</f>
        <v/>
      </c>
      <c r="I29" s="24">
        <f>IFERROR(SUMIFS(Skill_Assessments!$D$2:$D$500,Skill_Assessments!$B$2:$B$500,$A29,Skill_Assessments!$C$2:$C$500,I1,Skill_Assessments!$A$2:$A$500,"&gt;="&amp;Setup!$B$4,Skill_Assessments!$A$2:$A$500,"&lt;="&amp;Setup!$B$5)/COUNTIFS(Skill_Assessments!$B$2:$B$500,$A29,Skill_Assessments!$C$2:$C$500,I1,Skill_Assessments!$A$2:$A$500,"&gt;="&amp;Setup!$B$4,Skill_Assessments!$A$2:$A$500,"&lt;="&amp;Setup!$B$5),"")</f>
        <v/>
      </c>
      <c r="J29" s="24">
        <f>IFERROR(SUMIFS(Skill_Assessments!$D$2:$D$500,Skill_Assessments!$B$2:$B$500,$A29,Skill_Assessments!$C$2:$C$500,J1,Skill_Assessments!$A$2:$A$500,"&gt;="&amp;Setup!$B$4,Skill_Assessments!$A$2:$A$500,"&lt;="&amp;Setup!$B$5)/COUNTIFS(Skill_Assessments!$B$2:$B$500,$A29,Skill_Assessments!$C$2:$C$500,J1,Skill_Assessments!$A$2:$A$500,"&gt;="&amp;Setup!$B$4,Skill_Assessments!$A$2:$A$500,"&lt;="&amp;Setup!$B$5),"")</f>
        <v/>
      </c>
      <c r="K29" s="24">
        <f>IFERROR(SUMPRODUCT(C29:J29,Skills_List!$D$2:$D$9)/(5*SUM(Skills_List!$D$2:$D$9))*100,"")</f>
        <v/>
      </c>
    </row>
    <row r="30">
      <c r="A30">
        <f>IF(Staff!A30&lt;&gt;"",Staff!A30,"")</f>
        <v/>
      </c>
      <c r="B30">
        <f>IF(A30&lt;&gt;"",VLOOKUP(A30,Staff!$A$2:$B$200,2,FALSE),"")</f>
        <v/>
      </c>
      <c r="C30" s="24">
        <f>IFERROR(SUMIFS(Skill_Assessments!$D$2:$D$500,Skill_Assessments!$B$2:$B$500,$A30,Skill_Assessments!$C$2:$C$500,C1,Skill_Assessments!$A$2:$A$500,"&gt;="&amp;Setup!$B$4,Skill_Assessments!$A$2:$A$500,"&lt;="&amp;Setup!$B$5)/COUNTIFS(Skill_Assessments!$B$2:$B$500,$A30,Skill_Assessments!$C$2:$C$500,C1,Skill_Assessments!$A$2:$A$500,"&gt;="&amp;Setup!$B$4,Skill_Assessments!$A$2:$A$500,"&lt;="&amp;Setup!$B$5),"")</f>
        <v/>
      </c>
      <c r="D30" s="24">
        <f>IFERROR(SUMIFS(Skill_Assessments!$D$2:$D$500,Skill_Assessments!$B$2:$B$500,$A30,Skill_Assessments!$C$2:$C$500,D1,Skill_Assessments!$A$2:$A$500,"&gt;="&amp;Setup!$B$4,Skill_Assessments!$A$2:$A$500,"&lt;="&amp;Setup!$B$5)/COUNTIFS(Skill_Assessments!$B$2:$B$500,$A30,Skill_Assessments!$C$2:$C$500,D1,Skill_Assessments!$A$2:$A$500,"&gt;="&amp;Setup!$B$4,Skill_Assessments!$A$2:$A$500,"&lt;="&amp;Setup!$B$5),"")</f>
        <v/>
      </c>
      <c r="E30" s="24">
        <f>IFERROR(SUMIFS(Skill_Assessments!$D$2:$D$500,Skill_Assessments!$B$2:$B$500,$A30,Skill_Assessments!$C$2:$C$500,E1,Skill_Assessments!$A$2:$A$500,"&gt;="&amp;Setup!$B$4,Skill_Assessments!$A$2:$A$500,"&lt;="&amp;Setup!$B$5)/COUNTIFS(Skill_Assessments!$B$2:$B$500,$A30,Skill_Assessments!$C$2:$C$500,E1,Skill_Assessments!$A$2:$A$500,"&gt;="&amp;Setup!$B$4,Skill_Assessments!$A$2:$A$500,"&lt;="&amp;Setup!$B$5),"")</f>
        <v/>
      </c>
      <c r="F30" s="24">
        <f>IFERROR(SUMIFS(Skill_Assessments!$D$2:$D$500,Skill_Assessments!$B$2:$B$500,$A30,Skill_Assessments!$C$2:$C$500,F1,Skill_Assessments!$A$2:$A$500,"&gt;="&amp;Setup!$B$4,Skill_Assessments!$A$2:$A$500,"&lt;="&amp;Setup!$B$5)/COUNTIFS(Skill_Assessments!$B$2:$B$500,$A30,Skill_Assessments!$C$2:$C$500,F1,Skill_Assessments!$A$2:$A$500,"&gt;="&amp;Setup!$B$4,Skill_Assessments!$A$2:$A$500,"&lt;="&amp;Setup!$B$5),"")</f>
        <v/>
      </c>
      <c r="G30" s="24">
        <f>IFERROR(SUMIFS(Skill_Assessments!$D$2:$D$500,Skill_Assessments!$B$2:$B$500,$A30,Skill_Assessments!$C$2:$C$500,G1,Skill_Assessments!$A$2:$A$500,"&gt;="&amp;Setup!$B$4,Skill_Assessments!$A$2:$A$500,"&lt;="&amp;Setup!$B$5)/COUNTIFS(Skill_Assessments!$B$2:$B$500,$A30,Skill_Assessments!$C$2:$C$500,G1,Skill_Assessments!$A$2:$A$500,"&gt;="&amp;Setup!$B$4,Skill_Assessments!$A$2:$A$500,"&lt;="&amp;Setup!$B$5),"")</f>
        <v/>
      </c>
      <c r="H30" s="24">
        <f>IFERROR(SUMIFS(Skill_Assessments!$D$2:$D$500,Skill_Assessments!$B$2:$B$500,$A30,Skill_Assessments!$C$2:$C$500,H1,Skill_Assessments!$A$2:$A$500,"&gt;="&amp;Setup!$B$4,Skill_Assessments!$A$2:$A$500,"&lt;="&amp;Setup!$B$5)/COUNTIFS(Skill_Assessments!$B$2:$B$500,$A30,Skill_Assessments!$C$2:$C$500,H1,Skill_Assessments!$A$2:$A$500,"&gt;="&amp;Setup!$B$4,Skill_Assessments!$A$2:$A$500,"&lt;="&amp;Setup!$B$5),"")</f>
        <v/>
      </c>
      <c r="I30" s="24">
        <f>IFERROR(SUMIFS(Skill_Assessments!$D$2:$D$500,Skill_Assessments!$B$2:$B$500,$A30,Skill_Assessments!$C$2:$C$500,I1,Skill_Assessments!$A$2:$A$500,"&gt;="&amp;Setup!$B$4,Skill_Assessments!$A$2:$A$500,"&lt;="&amp;Setup!$B$5)/COUNTIFS(Skill_Assessments!$B$2:$B$500,$A30,Skill_Assessments!$C$2:$C$500,I1,Skill_Assessments!$A$2:$A$500,"&gt;="&amp;Setup!$B$4,Skill_Assessments!$A$2:$A$500,"&lt;="&amp;Setup!$B$5),"")</f>
        <v/>
      </c>
      <c r="J30" s="24">
        <f>IFERROR(SUMIFS(Skill_Assessments!$D$2:$D$500,Skill_Assessments!$B$2:$B$500,$A30,Skill_Assessments!$C$2:$C$500,J1,Skill_Assessments!$A$2:$A$500,"&gt;="&amp;Setup!$B$4,Skill_Assessments!$A$2:$A$500,"&lt;="&amp;Setup!$B$5)/COUNTIFS(Skill_Assessments!$B$2:$B$500,$A30,Skill_Assessments!$C$2:$C$500,J1,Skill_Assessments!$A$2:$A$500,"&gt;="&amp;Setup!$B$4,Skill_Assessments!$A$2:$A$500,"&lt;="&amp;Setup!$B$5),"")</f>
        <v/>
      </c>
      <c r="K30" s="24">
        <f>IFERROR(SUMPRODUCT(C30:J30,Skills_List!$D$2:$D$9)/(5*SUM(Skills_List!$D$2:$D$9))*100,"")</f>
        <v/>
      </c>
    </row>
    <row r="31">
      <c r="A31">
        <f>IF(Staff!A31&lt;&gt;"",Staff!A31,"")</f>
        <v/>
      </c>
      <c r="B31">
        <f>IF(A31&lt;&gt;"",VLOOKUP(A31,Staff!$A$2:$B$200,2,FALSE),"")</f>
        <v/>
      </c>
      <c r="C31" s="24">
        <f>IFERROR(SUMIFS(Skill_Assessments!$D$2:$D$500,Skill_Assessments!$B$2:$B$500,$A31,Skill_Assessments!$C$2:$C$500,C1,Skill_Assessments!$A$2:$A$500,"&gt;="&amp;Setup!$B$4,Skill_Assessments!$A$2:$A$500,"&lt;="&amp;Setup!$B$5)/COUNTIFS(Skill_Assessments!$B$2:$B$500,$A31,Skill_Assessments!$C$2:$C$500,C1,Skill_Assessments!$A$2:$A$500,"&gt;="&amp;Setup!$B$4,Skill_Assessments!$A$2:$A$500,"&lt;="&amp;Setup!$B$5),"")</f>
        <v/>
      </c>
      <c r="D31" s="24">
        <f>IFERROR(SUMIFS(Skill_Assessments!$D$2:$D$500,Skill_Assessments!$B$2:$B$500,$A31,Skill_Assessments!$C$2:$C$500,D1,Skill_Assessments!$A$2:$A$500,"&gt;="&amp;Setup!$B$4,Skill_Assessments!$A$2:$A$500,"&lt;="&amp;Setup!$B$5)/COUNTIFS(Skill_Assessments!$B$2:$B$500,$A31,Skill_Assessments!$C$2:$C$500,D1,Skill_Assessments!$A$2:$A$500,"&gt;="&amp;Setup!$B$4,Skill_Assessments!$A$2:$A$500,"&lt;="&amp;Setup!$B$5),"")</f>
        <v/>
      </c>
      <c r="E31" s="24">
        <f>IFERROR(SUMIFS(Skill_Assessments!$D$2:$D$500,Skill_Assessments!$B$2:$B$500,$A31,Skill_Assessments!$C$2:$C$500,E1,Skill_Assessments!$A$2:$A$500,"&gt;="&amp;Setup!$B$4,Skill_Assessments!$A$2:$A$500,"&lt;="&amp;Setup!$B$5)/COUNTIFS(Skill_Assessments!$B$2:$B$500,$A31,Skill_Assessments!$C$2:$C$500,E1,Skill_Assessments!$A$2:$A$500,"&gt;="&amp;Setup!$B$4,Skill_Assessments!$A$2:$A$500,"&lt;="&amp;Setup!$B$5),"")</f>
        <v/>
      </c>
      <c r="F31" s="24">
        <f>IFERROR(SUMIFS(Skill_Assessments!$D$2:$D$500,Skill_Assessments!$B$2:$B$500,$A31,Skill_Assessments!$C$2:$C$500,F1,Skill_Assessments!$A$2:$A$500,"&gt;="&amp;Setup!$B$4,Skill_Assessments!$A$2:$A$500,"&lt;="&amp;Setup!$B$5)/COUNTIFS(Skill_Assessments!$B$2:$B$500,$A31,Skill_Assessments!$C$2:$C$500,F1,Skill_Assessments!$A$2:$A$500,"&gt;="&amp;Setup!$B$4,Skill_Assessments!$A$2:$A$500,"&lt;="&amp;Setup!$B$5),"")</f>
        <v/>
      </c>
      <c r="G31" s="24">
        <f>IFERROR(SUMIFS(Skill_Assessments!$D$2:$D$500,Skill_Assessments!$B$2:$B$500,$A31,Skill_Assessments!$C$2:$C$500,G1,Skill_Assessments!$A$2:$A$500,"&gt;="&amp;Setup!$B$4,Skill_Assessments!$A$2:$A$500,"&lt;="&amp;Setup!$B$5)/COUNTIFS(Skill_Assessments!$B$2:$B$500,$A31,Skill_Assessments!$C$2:$C$500,G1,Skill_Assessments!$A$2:$A$500,"&gt;="&amp;Setup!$B$4,Skill_Assessments!$A$2:$A$500,"&lt;="&amp;Setup!$B$5),"")</f>
        <v/>
      </c>
      <c r="H31" s="24">
        <f>IFERROR(SUMIFS(Skill_Assessments!$D$2:$D$500,Skill_Assessments!$B$2:$B$500,$A31,Skill_Assessments!$C$2:$C$500,H1,Skill_Assessments!$A$2:$A$500,"&gt;="&amp;Setup!$B$4,Skill_Assessments!$A$2:$A$500,"&lt;="&amp;Setup!$B$5)/COUNTIFS(Skill_Assessments!$B$2:$B$500,$A31,Skill_Assessments!$C$2:$C$500,H1,Skill_Assessments!$A$2:$A$500,"&gt;="&amp;Setup!$B$4,Skill_Assessments!$A$2:$A$500,"&lt;="&amp;Setup!$B$5),"")</f>
        <v/>
      </c>
      <c r="I31" s="24">
        <f>IFERROR(SUMIFS(Skill_Assessments!$D$2:$D$500,Skill_Assessments!$B$2:$B$500,$A31,Skill_Assessments!$C$2:$C$500,I1,Skill_Assessments!$A$2:$A$500,"&gt;="&amp;Setup!$B$4,Skill_Assessments!$A$2:$A$500,"&lt;="&amp;Setup!$B$5)/COUNTIFS(Skill_Assessments!$B$2:$B$500,$A31,Skill_Assessments!$C$2:$C$500,I1,Skill_Assessments!$A$2:$A$500,"&gt;="&amp;Setup!$B$4,Skill_Assessments!$A$2:$A$500,"&lt;="&amp;Setup!$B$5),"")</f>
        <v/>
      </c>
      <c r="J31" s="24">
        <f>IFERROR(SUMIFS(Skill_Assessments!$D$2:$D$500,Skill_Assessments!$B$2:$B$500,$A31,Skill_Assessments!$C$2:$C$500,J1,Skill_Assessments!$A$2:$A$500,"&gt;="&amp;Setup!$B$4,Skill_Assessments!$A$2:$A$500,"&lt;="&amp;Setup!$B$5)/COUNTIFS(Skill_Assessments!$B$2:$B$500,$A31,Skill_Assessments!$C$2:$C$500,J1,Skill_Assessments!$A$2:$A$500,"&gt;="&amp;Setup!$B$4,Skill_Assessments!$A$2:$A$500,"&lt;="&amp;Setup!$B$5),"")</f>
        <v/>
      </c>
      <c r="K31" s="24">
        <f>IFERROR(SUMPRODUCT(C31:J31,Skills_List!$D$2:$D$9)/(5*SUM(Skills_List!$D$2:$D$9))*100,"")</f>
        <v/>
      </c>
    </row>
  </sheetData>
  <conditionalFormatting sqref="K2:K101">
    <cfRule type="colorScale" priority="1">
      <colorScale>
        <cfvo type="num" val="0"/>
        <cfvo type="num" val="70"/>
        <cfvo type="num" val="90"/>
        <color rgb="00F8CBAD"/>
        <color rgb="00FFF2CC"/>
        <color rgb="00C6E0B4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6" customWidth="1" min="13" max="13"/>
    <col width="16" customWidth="1" min="14" max="14"/>
  </cols>
  <sheetData>
    <row r="1" ht="30" customHeight="1">
      <c r="A1" s="9" t="inlineStr">
        <is>
          <t>Staff_ID</t>
        </is>
      </c>
      <c r="B1" s="9" t="inlineStr">
        <is>
          <t>Client</t>
        </is>
      </c>
      <c r="C1" s="9" t="inlineStr">
        <is>
          <t>Goal_Type</t>
        </is>
      </c>
      <c r="D1" s="9" t="inlineStr">
        <is>
          <t>Target_ROAS</t>
        </is>
      </c>
      <c r="E1" s="9" t="inlineStr">
        <is>
          <t>Target_CPA</t>
        </is>
      </c>
      <c r="F1" s="9" t="inlineStr">
        <is>
          <t>Spend</t>
        </is>
      </c>
      <c r="G1" s="9" t="inlineStr">
        <is>
          <t>Impressions</t>
        </is>
      </c>
      <c r="H1" s="9" t="inlineStr">
        <is>
          <t>Clicks</t>
        </is>
      </c>
      <c r="I1" s="9" t="inlineStr">
        <is>
          <t>Conversions</t>
        </is>
      </c>
      <c r="J1" s="9" t="inlineStr">
        <is>
          <t>Revenue</t>
        </is>
      </c>
      <c r="K1" s="9" t="inlineStr">
        <is>
          <t>ROAS</t>
        </is>
      </c>
      <c r="L1" s="9" t="inlineStr">
        <is>
          <t>CPA</t>
        </is>
      </c>
      <c r="M1" s="9" t="inlineStr">
        <is>
          <t>Client_Score_100</t>
        </is>
      </c>
      <c r="N1" s="9" t="inlineStr">
        <is>
          <t>Weighted_Score</t>
        </is>
      </c>
    </row>
    <row r="2">
      <c r="A2" s="3">
        <f>IF(Staff_Client_Targets!A2&lt;&gt;"",Staff_Client_Targets!A2,"")</f>
        <v/>
      </c>
      <c r="B2" s="3">
        <f>IF(A2&lt;&gt;"",Staff_Client_Targets!B2,"")</f>
        <v/>
      </c>
      <c r="C2" s="3">
        <f>IF(A2&lt;&gt;"",Staff_Client_Targets!C2,"")</f>
        <v/>
      </c>
      <c r="D2" s="3">
        <f>IF(A2&lt;&gt;"",Staff_Client_Targets!D2,"")</f>
        <v/>
      </c>
      <c r="E2" s="3">
        <f>IF(A2&lt;&gt;"",Staff_Client_Targets!E2,"")</f>
        <v/>
      </c>
      <c r="F2" s="15">
        <f>IFERROR(SUMIFS(Ads_Raw!G:G,Ads_Raw!$L$2:$L$1000,$A2,Ads_Raw!$B$2:$B$1000,$B2,Ads_Raw!$A$2:$A$1000,"&gt;="&amp;Setup!$B$4,Ads_Raw!$A$2:$A$1000,"&lt;="&amp;Setup!$B$5),"")</f>
        <v/>
      </c>
      <c r="G2" s="3">
        <f>IFERROR(SUMIFS(Ads_Raw!H:H,Ads_Raw!$L$2:$L$1000,$A2,Ads_Raw!$B$2:$B$1000,$B2,Ads_Raw!$A$2:$A$1000,"&gt;="&amp;Setup!$B$4,Ads_Raw!$A$2:$A$1000,"&lt;="&amp;Setup!$B$5),"")</f>
        <v/>
      </c>
      <c r="H2" s="3">
        <f>IFERROR(SUMIFS(Ads_Raw!I:I,Ads_Raw!$L$2:$L$1000,$A2,Ads_Raw!$B$2:$B$1000,$B2,Ads_Raw!$A$2:$A$1000,"&gt;="&amp;Setup!$B$4,Ads_Raw!$A$2:$A$1000,"&lt;="&amp;Setup!$B$5),"")</f>
        <v/>
      </c>
      <c r="I2" s="3">
        <f>IFERROR(SUMIFS(Ads_Raw!J:J,Ads_Raw!$L$2:$L$1000,$A2,Ads_Raw!$B$2:$B$1000,$B2,Ads_Raw!$A$2:$A$1000,"&gt;="&amp;Setup!$B$4,Ads_Raw!$A$2:$A$1000,"&lt;="&amp;Setup!$B$5),"")</f>
        <v/>
      </c>
      <c r="J2" s="15">
        <f>IFERROR(SUMIFS(Ads_Raw!K:K,Ads_Raw!$L$2:$L$1000,$A2,Ads_Raw!$B$2:$B$1000,$B2,Ads_Raw!$A$2:$A$1000,"&gt;="&amp;Setup!$B$4,Ads_Raw!$A$2:$A$1000,"&lt;="&amp;Setup!$B$5),"")</f>
        <v/>
      </c>
      <c r="K2" s="18">
        <f>IFERROR(J2/F2,"")</f>
        <v/>
      </c>
      <c r="L2" s="17">
        <f>IFERROR(F2/I2,"")</f>
        <v/>
      </c>
      <c r="M2" s="23">
        <f>IF(C2="ROAS",IFERROR(MIN(K2/D2,1.5)*100,""),IFERROR(MIN(E2/L2,1.5)*100,""))</f>
        <v/>
      </c>
      <c r="N2" s="3">
        <f>IFERROR(F2*M2,"")</f>
        <v/>
      </c>
    </row>
    <row r="3">
      <c r="A3" s="3">
        <f>IF(Staff_Client_Targets!A3&lt;&gt;"",Staff_Client_Targets!A3,"")</f>
        <v/>
      </c>
      <c r="B3" s="3">
        <f>IF(A3&lt;&gt;"",Staff_Client_Targets!B3,"")</f>
        <v/>
      </c>
      <c r="C3" s="3">
        <f>IF(A3&lt;&gt;"",Staff_Client_Targets!C3,"")</f>
        <v/>
      </c>
      <c r="D3" s="3">
        <f>IF(A3&lt;&gt;"",Staff_Client_Targets!D3,"")</f>
        <v/>
      </c>
      <c r="E3" s="3">
        <f>IF(A3&lt;&gt;"",Staff_Client_Targets!E3,"")</f>
        <v/>
      </c>
      <c r="F3" s="15">
        <f>IFERROR(SUMIFS(Ads_Raw!G:G,Ads_Raw!$L$2:$L$1000,$A3,Ads_Raw!$B$2:$B$1000,$B3,Ads_Raw!$A$2:$A$1000,"&gt;="&amp;Setup!$B$4,Ads_Raw!$A$2:$A$1000,"&lt;="&amp;Setup!$B$5),"")</f>
        <v/>
      </c>
      <c r="G3" s="3">
        <f>IFERROR(SUMIFS(Ads_Raw!H:H,Ads_Raw!$L$2:$L$1000,$A3,Ads_Raw!$B$2:$B$1000,$B3,Ads_Raw!$A$2:$A$1000,"&gt;="&amp;Setup!$B$4,Ads_Raw!$A$2:$A$1000,"&lt;="&amp;Setup!$B$5),"")</f>
        <v/>
      </c>
      <c r="H3" s="3">
        <f>IFERROR(SUMIFS(Ads_Raw!I:I,Ads_Raw!$L$2:$L$1000,$A3,Ads_Raw!$B$2:$B$1000,$B3,Ads_Raw!$A$2:$A$1000,"&gt;="&amp;Setup!$B$4,Ads_Raw!$A$2:$A$1000,"&lt;="&amp;Setup!$B$5),"")</f>
        <v/>
      </c>
      <c r="I3" s="3">
        <f>IFERROR(SUMIFS(Ads_Raw!J:J,Ads_Raw!$L$2:$L$1000,$A3,Ads_Raw!$B$2:$B$1000,$B3,Ads_Raw!$A$2:$A$1000,"&gt;="&amp;Setup!$B$4,Ads_Raw!$A$2:$A$1000,"&lt;="&amp;Setup!$B$5),"")</f>
        <v/>
      </c>
      <c r="J3" s="15">
        <f>IFERROR(SUMIFS(Ads_Raw!K:K,Ads_Raw!$L$2:$L$1000,$A3,Ads_Raw!$B$2:$B$1000,$B3,Ads_Raw!$A$2:$A$1000,"&gt;="&amp;Setup!$B$4,Ads_Raw!$A$2:$A$1000,"&lt;="&amp;Setup!$B$5),"")</f>
        <v/>
      </c>
      <c r="K3" s="18">
        <f>IFERROR(J3/F3,"")</f>
        <v/>
      </c>
      <c r="L3" s="17">
        <f>IFERROR(F3/I3,"")</f>
        <v/>
      </c>
      <c r="M3" s="23">
        <f>IF(C3="ROAS",IFERROR(MIN(K3/D3,1.5)*100,""),IFERROR(MIN(E3/L3,1.5)*100,""))</f>
        <v/>
      </c>
      <c r="N3" s="3">
        <f>IFERROR(F3*M3,"")</f>
        <v/>
      </c>
    </row>
    <row r="4">
      <c r="A4" s="3">
        <f>IF(Staff_Client_Targets!A4&lt;&gt;"",Staff_Client_Targets!A4,"")</f>
        <v/>
      </c>
      <c r="B4" s="3">
        <f>IF(A4&lt;&gt;"",Staff_Client_Targets!B4,"")</f>
        <v/>
      </c>
      <c r="C4" s="3">
        <f>IF(A4&lt;&gt;"",Staff_Client_Targets!C4,"")</f>
        <v/>
      </c>
      <c r="D4" s="3">
        <f>IF(A4&lt;&gt;"",Staff_Client_Targets!D4,"")</f>
        <v/>
      </c>
      <c r="E4" s="3">
        <f>IF(A4&lt;&gt;"",Staff_Client_Targets!E4,"")</f>
        <v/>
      </c>
      <c r="F4" s="15">
        <f>IFERROR(SUMIFS(Ads_Raw!G:G,Ads_Raw!$L$2:$L$1000,$A4,Ads_Raw!$B$2:$B$1000,$B4,Ads_Raw!$A$2:$A$1000,"&gt;="&amp;Setup!$B$4,Ads_Raw!$A$2:$A$1000,"&lt;="&amp;Setup!$B$5),"")</f>
        <v/>
      </c>
      <c r="G4" s="3">
        <f>IFERROR(SUMIFS(Ads_Raw!H:H,Ads_Raw!$L$2:$L$1000,$A4,Ads_Raw!$B$2:$B$1000,$B4,Ads_Raw!$A$2:$A$1000,"&gt;="&amp;Setup!$B$4,Ads_Raw!$A$2:$A$1000,"&lt;="&amp;Setup!$B$5),"")</f>
        <v/>
      </c>
      <c r="H4" s="3">
        <f>IFERROR(SUMIFS(Ads_Raw!I:I,Ads_Raw!$L$2:$L$1000,$A4,Ads_Raw!$B$2:$B$1000,$B4,Ads_Raw!$A$2:$A$1000,"&gt;="&amp;Setup!$B$4,Ads_Raw!$A$2:$A$1000,"&lt;="&amp;Setup!$B$5),"")</f>
        <v/>
      </c>
      <c r="I4" s="3">
        <f>IFERROR(SUMIFS(Ads_Raw!J:J,Ads_Raw!$L$2:$L$1000,$A4,Ads_Raw!$B$2:$B$1000,$B4,Ads_Raw!$A$2:$A$1000,"&gt;="&amp;Setup!$B$4,Ads_Raw!$A$2:$A$1000,"&lt;="&amp;Setup!$B$5),"")</f>
        <v/>
      </c>
      <c r="J4" s="15">
        <f>IFERROR(SUMIFS(Ads_Raw!K:K,Ads_Raw!$L$2:$L$1000,$A4,Ads_Raw!$B$2:$B$1000,$B4,Ads_Raw!$A$2:$A$1000,"&gt;="&amp;Setup!$B$4,Ads_Raw!$A$2:$A$1000,"&lt;="&amp;Setup!$B$5),"")</f>
        <v/>
      </c>
      <c r="K4" s="18">
        <f>IFERROR(J4/F4,"")</f>
        <v/>
      </c>
      <c r="L4" s="17">
        <f>IFERROR(F4/I4,"")</f>
        <v/>
      </c>
      <c r="M4" s="23">
        <f>IF(C4="ROAS",IFERROR(MIN(K4/D4,1.5)*100,""),IFERROR(MIN(E4/L4,1.5)*100,""))</f>
        <v/>
      </c>
      <c r="N4" s="3">
        <f>IFERROR(F4*M4,"")</f>
        <v/>
      </c>
    </row>
    <row r="5">
      <c r="A5" s="3">
        <f>IF(Staff_Client_Targets!A5&lt;&gt;"",Staff_Client_Targets!A5,"")</f>
        <v/>
      </c>
      <c r="B5" s="3">
        <f>IF(A5&lt;&gt;"",Staff_Client_Targets!B5,"")</f>
        <v/>
      </c>
      <c r="C5" s="3">
        <f>IF(A5&lt;&gt;"",Staff_Client_Targets!C5,"")</f>
        <v/>
      </c>
      <c r="D5" s="3">
        <f>IF(A5&lt;&gt;"",Staff_Client_Targets!D5,"")</f>
        <v/>
      </c>
      <c r="E5" s="3">
        <f>IF(A5&lt;&gt;"",Staff_Client_Targets!E5,"")</f>
        <v/>
      </c>
      <c r="F5" s="15">
        <f>IFERROR(SUMIFS(Ads_Raw!G:G,Ads_Raw!$L$2:$L$1000,$A5,Ads_Raw!$B$2:$B$1000,$B5,Ads_Raw!$A$2:$A$1000,"&gt;="&amp;Setup!$B$4,Ads_Raw!$A$2:$A$1000,"&lt;="&amp;Setup!$B$5),"")</f>
        <v/>
      </c>
      <c r="G5" s="3">
        <f>IFERROR(SUMIFS(Ads_Raw!H:H,Ads_Raw!$L$2:$L$1000,$A5,Ads_Raw!$B$2:$B$1000,$B5,Ads_Raw!$A$2:$A$1000,"&gt;="&amp;Setup!$B$4,Ads_Raw!$A$2:$A$1000,"&lt;="&amp;Setup!$B$5),"")</f>
        <v/>
      </c>
      <c r="H5" s="3">
        <f>IFERROR(SUMIFS(Ads_Raw!I:I,Ads_Raw!$L$2:$L$1000,$A5,Ads_Raw!$B$2:$B$1000,$B5,Ads_Raw!$A$2:$A$1000,"&gt;="&amp;Setup!$B$4,Ads_Raw!$A$2:$A$1000,"&lt;="&amp;Setup!$B$5),"")</f>
        <v/>
      </c>
      <c r="I5" s="3">
        <f>IFERROR(SUMIFS(Ads_Raw!J:J,Ads_Raw!$L$2:$L$1000,$A5,Ads_Raw!$B$2:$B$1000,$B5,Ads_Raw!$A$2:$A$1000,"&gt;="&amp;Setup!$B$4,Ads_Raw!$A$2:$A$1000,"&lt;="&amp;Setup!$B$5),"")</f>
        <v/>
      </c>
      <c r="J5" s="15">
        <f>IFERROR(SUMIFS(Ads_Raw!K:K,Ads_Raw!$L$2:$L$1000,$A5,Ads_Raw!$B$2:$B$1000,$B5,Ads_Raw!$A$2:$A$1000,"&gt;="&amp;Setup!$B$4,Ads_Raw!$A$2:$A$1000,"&lt;="&amp;Setup!$B$5),"")</f>
        <v/>
      </c>
      <c r="K5" s="18">
        <f>IFERROR(J5/F5,"")</f>
        <v/>
      </c>
      <c r="L5" s="17">
        <f>IFERROR(F5/I5,"")</f>
        <v/>
      </c>
      <c r="M5" s="23">
        <f>IF(C5="ROAS",IFERROR(MIN(K5/D5,1.5)*100,""),IFERROR(MIN(E5/L5,1.5)*100,""))</f>
        <v/>
      </c>
      <c r="N5" s="3">
        <f>IFERROR(F5*M5,"")</f>
        <v/>
      </c>
    </row>
    <row r="6">
      <c r="A6" s="3">
        <f>IF(Staff_Client_Targets!A6&lt;&gt;"",Staff_Client_Targets!A6,"")</f>
        <v/>
      </c>
      <c r="B6" s="3">
        <f>IF(A6&lt;&gt;"",Staff_Client_Targets!B6,"")</f>
        <v/>
      </c>
      <c r="C6" s="3">
        <f>IF(A6&lt;&gt;"",Staff_Client_Targets!C6,"")</f>
        <v/>
      </c>
      <c r="D6" s="3">
        <f>IF(A6&lt;&gt;"",Staff_Client_Targets!D6,"")</f>
        <v/>
      </c>
      <c r="E6" s="3">
        <f>IF(A6&lt;&gt;"",Staff_Client_Targets!E6,"")</f>
        <v/>
      </c>
      <c r="F6" s="15">
        <f>IFERROR(SUMIFS(Ads_Raw!G:G,Ads_Raw!$L$2:$L$1000,$A6,Ads_Raw!$B$2:$B$1000,$B6,Ads_Raw!$A$2:$A$1000,"&gt;="&amp;Setup!$B$4,Ads_Raw!$A$2:$A$1000,"&lt;="&amp;Setup!$B$5),"")</f>
        <v/>
      </c>
      <c r="G6" s="3">
        <f>IFERROR(SUMIFS(Ads_Raw!H:H,Ads_Raw!$L$2:$L$1000,$A6,Ads_Raw!$B$2:$B$1000,$B6,Ads_Raw!$A$2:$A$1000,"&gt;="&amp;Setup!$B$4,Ads_Raw!$A$2:$A$1000,"&lt;="&amp;Setup!$B$5),"")</f>
        <v/>
      </c>
      <c r="H6" s="3">
        <f>IFERROR(SUMIFS(Ads_Raw!I:I,Ads_Raw!$L$2:$L$1000,$A6,Ads_Raw!$B$2:$B$1000,$B6,Ads_Raw!$A$2:$A$1000,"&gt;="&amp;Setup!$B$4,Ads_Raw!$A$2:$A$1000,"&lt;="&amp;Setup!$B$5),"")</f>
        <v/>
      </c>
      <c r="I6" s="3">
        <f>IFERROR(SUMIFS(Ads_Raw!J:J,Ads_Raw!$L$2:$L$1000,$A6,Ads_Raw!$B$2:$B$1000,$B6,Ads_Raw!$A$2:$A$1000,"&gt;="&amp;Setup!$B$4,Ads_Raw!$A$2:$A$1000,"&lt;="&amp;Setup!$B$5),"")</f>
        <v/>
      </c>
      <c r="J6" s="15">
        <f>IFERROR(SUMIFS(Ads_Raw!K:K,Ads_Raw!$L$2:$L$1000,$A6,Ads_Raw!$B$2:$B$1000,$B6,Ads_Raw!$A$2:$A$1000,"&gt;="&amp;Setup!$B$4,Ads_Raw!$A$2:$A$1000,"&lt;="&amp;Setup!$B$5),"")</f>
        <v/>
      </c>
      <c r="K6" s="18">
        <f>IFERROR(J6/F6,"")</f>
        <v/>
      </c>
      <c r="L6" s="17">
        <f>IFERROR(F6/I6,"")</f>
        <v/>
      </c>
      <c r="M6" s="23">
        <f>IF(C6="ROAS",IFERROR(MIN(K6/D6,1.5)*100,""),IFERROR(MIN(E6/L6,1.5)*100,""))</f>
        <v/>
      </c>
      <c r="N6" s="3">
        <f>IFERROR(F6*M6,"")</f>
        <v/>
      </c>
    </row>
    <row r="7">
      <c r="A7" s="3">
        <f>IF(Staff_Client_Targets!A7&lt;&gt;"",Staff_Client_Targets!A7,"")</f>
        <v/>
      </c>
      <c r="B7" s="3">
        <f>IF(A7&lt;&gt;"",Staff_Client_Targets!B7,"")</f>
        <v/>
      </c>
      <c r="C7" s="3">
        <f>IF(A7&lt;&gt;"",Staff_Client_Targets!C7,"")</f>
        <v/>
      </c>
      <c r="D7" s="3">
        <f>IF(A7&lt;&gt;"",Staff_Client_Targets!D7,"")</f>
        <v/>
      </c>
      <c r="E7" s="3">
        <f>IF(A7&lt;&gt;"",Staff_Client_Targets!E7,"")</f>
        <v/>
      </c>
      <c r="F7" s="15">
        <f>IFERROR(SUMIFS(Ads_Raw!G:G,Ads_Raw!$L$2:$L$1000,$A7,Ads_Raw!$B$2:$B$1000,$B7,Ads_Raw!$A$2:$A$1000,"&gt;="&amp;Setup!$B$4,Ads_Raw!$A$2:$A$1000,"&lt;="&amp;Setup!$B$5),"")</f>
        <v/>
      </c>
      <c r="G7" s="3">
        <f>IFERROR(SUMIFS(Ads_Raw!H:H,Ads_Raw!$L$2:$L$1000,$A7,Ads_Raw!$B$2:$B$1000,$B7,Ads_Raw!$A$2:$A$1000,"&gt;="&amp;Setup!$B$4,Ads_Raw!$A$2:$A$1000,"&lt;="&amp;Setup!$B$5),"")</f>
        <v/>
      </c>
      <c r="H7" s="3">
        <f>IFERROR(SUMIFS(Ads_Raw!I:I,Ads_Raw!$L$2:$L$1000,$A7,Ads_Raw!$B$2:$B$1000,$B7,Ads_Raw!$A$2:$A$1000,"&gt;="&amp;Setup!$B$4,Ads_Raw!$A$2:$A$1000,"&lt;="&amp;Setup!$B$5),"")</f>
        <v/>
      </c>
      <c r="I7" s="3">
        <f>IFERROR(SUMIFS(Ads_Raw!J:J,Ads_Raw!$L$2:$L$1000,$A7,Ads_Raw!$B$2:$B$1000,$B7,Ads_Raw!$A$2:$A$1000,"&gt;="&amp;Setup!$B$4,Ads_Raw!$A$2:$A$1000,"&lt;="&amp;Setup!$B$5),"")</f>
        <v/>
      </c>
      <c r="J7" s="15">
        <f>IFERROR(SUMIFS(Ads_Raw!K:K,Ads_Raw!$L$2:$L$1000,$A7,Ads_Raw!$B$2:$B$1000,$B7,Ads_Raw!$A$2:$A$1000,"&gt;="&amp;Setup!$B$4,Ads_Raw!$A$2:$A$1000,"&lt;="&amp;Setup!$B$5),"")</f>
        <v/>
      </c>
      <c r="K7" s="18">
        <f>IFERROR(J7/F7,"")</f>
        <v/>
      </c>
      <c r="L7" s="17">
        <f>IFERROR(F7/I7,"")</f>
        <v/>
      </c>
      <c r="M7" s="23">
        <f>IF(C7="ROAS",IFERROR(MIN(K7/D7,1.5)*100,""),IFERROR(MIN(E7/L7,1.5)*100,""))</f>
        <v/>
      </c>
      <c r="N7" s="3">
        <f>IFERROR(F7*M7,"")</f>
        <v/>
      </c>
    </row>
    <row r="8">
      <c r="A8" s="3">
        <f>IF(Staff_Client_Targets!A8&lt;&gt;"",Staff_Client_Targets!A8,"")</f>
        <v/>
      </c>
      <c r="B8" s="3">
        <f>IF(A8&lt;&gt;"",Staff_Client_Targets!B8,"")</f>
        <v/>
      </c>
      <c r="C8" s="3">
        <f>IF(A8&lt;&gt;"",Staff_Client_Targets!C8,"")</f>
        <v/>
      </c>
      <c r="D8" s="3">
        <f>IF(A8&lt;&gt;"",Staff_Client_Targets!D8,"")</f>
        <v/>
      </c>
      <c r="E8" s="3">
        <f>IF(A8&lt;&gt;"",Staff_Client_Targets!E8,"")</f>
        <v/>
      </c>
      <c r="F8" s="15">
        <f>IFERROR(SUMIFS(Ads_Raw!G:G,Ads_Raw!$L$2:$L$1000,$A8,Ads_Raw!$B$2:$B$1000,$B8,Ads_Raw!$A$2:$A$1000,"&gt;="&amp;Setup!$B$4,Ads_Raw!$A$2:$A$1000,"&lt;="&amp;Setup!$B$5),"")</f>
        <v/>
      </c>
      <c r="G8" s="3">
        <f>IFERROR(SUMIFS(Ads_Raw!H:H,Ads_Raw!$L$2:$L$1000,$A8,Ads_Raw!$B$2:$B$1000,$B8,Ads_Raw!$A$2:$A$1000,"&gt;="&amp;Setup!$B$4,Ads_Raw!$A$2:$A$1000,"&lt;="&amp;Setup!$B$5),"")</f>
        <v/>
      </c>
      <c r="H8" s="3">
        <f>IFERROR(SUMIFS(Ads_Raw!I:I,Ads_Raw!$L$2:$L$1000,$A8,Ads_Raw!$B$2:$B$1000,$B8,Ads_Raw!$A$2:$A$1000,"&gt;="&amp;Setup!$B$4,Ads_Raw!$A$2:$A$1000,"&lt;="&amp;Setup!$B$5),"")</f>
        <v/>
      </c>
      <c r="I8" s="3">
        <f>IFERROR(SUMIFS(Ads_Raw!J:J,Ads_Raw!$L$2:$L$1000,$A8,Ads_Raw!$B$2:$B$1000,$B8,Ads_Raw!$A$2:$A$1000,"&gt;="&amp;Setup!$B$4,Ads_Raw!$A$2:$A$1000,"&lt;="&amp;Setup!$B$5),"")</f>
        <v/>
      </c>
      <c r="J8" s="15">
        <f>IFERROR(SUMIFS(Ads_Raw!K:K,Ads_Raw!$L$2:$L$1000,$A8,Ads_Raw!$B$2:$B$1000,$B8,Ads_Raw!$A$2:$A$1000,"&gt;="&amp;Setup!$B$4,Ads_Raw!$A$2:$A$1000,"&lt;="&amp;Setup!$B$5),"")</f>
        <v/>
      </c>
      <c r="K8" s="18">
        <f>IFERROR(J8/F8,"")</f>
        <v/>
      </c>
      <c r="L8" s="17">
        <f>IFERROR(F8/I8,"")</f>
        <v/>
      </c>
      <c r="M8" s="23">
        <f>IF(C8="ROAS",IFERROR(MIN(K8/D8,1.5)*100,""),IFERROR(MIN(E8/L8,1.5)*100,""))</f>
        <v/>
      </c>
      <c r="N8" s="3">
        <f>IFERROR(F8*M8,"")</f>
        <v/>
      </c>
    </row>
    <row r="9">
      <c r="A9" s="3">
        <f>IF(Staff_Client_Targets!A9&lt;&gt;"",Staff_Client_Targets!A9,"")</f>
        <v/>
      </c>
      <c r="B9" s="3">
        <f>IF(A9&lt;&gt;"",Staff_Client_Targets!B9,"")</f>
        <v/>
      </c>
      <c r="C9" s="3">
        <f>IF(A9&lt;&gt;"",Staff_Client_Targets!C9,"")</f>
        <v/>
      </c>
      <c r="D9" s="3">
        <f>IF(A9&lt;&gt;"",Staff_Client_Targets!D9,"")</f>
        <v/>
      </c>
      <c r="E9" s="3">
        <f>IF(A9&lt;&gt;"",Staff_Client_Targets!E9,"")</f>
        <v/>
      </c>
      <c r="F9" s="15">
        <f>IFERROR(SUMIFS(Ads_Raw!G:G,Ads_Raw!$L$2:$L$1000,$A9,Ads_Raw!$B$2:$B$1000,$B9,Ads_Raw!$A$2:$A$1000,"&gt;="&amp;Setup!$B$4,Ads_Raw!$A$2:$A$1000,"&lt;="&amp;Setup!$B$5),"")</f>
        <v/>
      </c>
      <c r="G9" s="3">
        <f>IFERROR(SUMIFS(Ads_Raw!H:H,Ads_Raw!$L$2:$L$1000,$A9,Ads_Raw!$B$2:$B$1000,$B9,Ads_Raw!$A$2:$A$1000,"&gt;="&amp;Setup!$B$4,Ads_Raw!$A$2:$A$1000,"&lt;="&amp;Setup!$B$5),"")</f>
        <v/>
      </c>
      <c r="H9" s="3">
        <f>IFERROR(SUMIFS(Ads_Raw!I:I,Ads_Raw!$L$2:$L$1000,$A9,Ads_Raw!$B$2:$B$1000,$B9,Ads_Raw!$A$2:$A$1000,"&gt;="&amp;Setup!$B$4,Ads_Raw!$A$2:$A$1000,"&lt;="&amp;Setup!$B$5),"")</f>
        <v/>
      </c>
      <c r="I9" s="3">
        <f>IFERROR(SUMIFS(Ads_Raw!J:J,Ads_Raw!$L$2:$L$1000,$A9,Ads_Raw!$B$2:$B$1000,$B9,Ads_Raw!$A$2:$A$1000,"&gt;="&amp;Setup!$B$4,Ads_Raw!$A$2:$A$1000,"&lt;="&amp;Setup!$B$5),"")</f>
        <v/>
      </c>
      <c r="J9" s="15">
        <f>IFERROR(SUMIFS(Ads_Raw!K:K,Ads_Raw!$L$2:$L$1000,$A9,Ads_Raw!$B$2:$B$1000,$B9,Ads_Raw!$A$2:$A$1000,"&gt;="&amp;Setup!$B$4,Ads_Raw!$A$2:$A$1000,"&lt;="&amp;Setup!$B$5),"")</f>
        <v/>
      </c>
      <c r="K9" s="18">
        <f>IFERROR(J9/F9,"")</f>
        <v/>
      </c>
      <c r="L9" s="17">
        <f>IFERROR(F9/I9,"")</f>
        <v/>
      </c>
      <c r="M9" s="23">
        <f>IF(C9="ROAS",IFERROR(MIN(K9/D9,1.5)*100,""),IFERROR(MIN(E9/L9,1.5)*100,""))</f>
        <v/>
      </c>
      <c r="N9" s="3">
        <f>IFERROR(F9*M9,"")</f>
        <v/>
      </c>
    </row>
    <row r="10">
      <c r="A10" s="3">
        <f>IF(Staff_Client_Targets!A10&lt;&gt;"",Staff_Client_Targets!A10,"")</f>
        <v/>
      </c>
      <c r="B10" s="3">
        <f>IF(A10&lt;&gt;"",Staff_Client_Targets!B10,"")</f>
        <v/>
      </c>
      <c r="C10" s="3">
        <f>IF(A10&lt;&gt;"",Staff_Client_Targets!C10,"")</f>
        <v/>
      </c>
      <c r="D10" s="3">
        <f>IF(A10&lt;&gt;"",Staff_Client_Targets!D10,"")</f>
        <v/>
      </c>
      <c r="E10" s="3">
        <f>IF(A10&lt;&gt;"",Staff_Client_Targets!E10,"")</f>
        <v/>
      </c>
      <c r="F10" s="15">
        <f>IFERROR(SUMIFS(Ads_Raw!G:G,Ads_Raw!$L$2:$L$1000,$A10,Ads_Raw!$B$2:$B$1000,$B10,Ads_Raw!$A$2:$A$1000,"&gt;="&amp;Setup!$B$4,Ads_Raw!$A$2:$A$1000,"&lt;="&amp;Setup!$B$5),"")</f>
        <v/>
      </c>
      <c r="G10" s="3">
        <f>IFERROR(SUMIFS(Ads_Raw!H:H,Ads_Raw!$L$2:$L$1000,$A10,Ads_Raw!$B$2:$B$1000,$B10,Ads_Raw!$A$2:$A$1000,"&gt;="&amp;Setup!$B$4,Ads_Raw!$A$2:$A$1000,"&lt;="&amp;Setup!$B$5),"")</f>
        <v/>
      </c>
      <c r="H10" s="3">
        <f>IFERROR(SUMIFS(Ads_Raw!I:I,Ads_Raw!$L$2:$L$1000,$A10,Ads_Raw!$B$2:$B$1000,$B10,Ads_Raw!$A$2:$A$1000,"&gt;="&amp;Setup!$B$4,Ads_Raw!$A$2:$A$1000,"&lt;="&amp;Setup!$B$5),"")</f>
        <v/>
      </c>
      <c r="I10" s="3">
        <f>IFERROR(SUMIFS(Ads_Raw!J:J,Ads_Raw!$L$2:$L$1000,$A10,Ads_Raw!$B$2:$B$1000,$B10,Ads_Raw!$A$2:$A$1000,"&gt;="&amp;Setup!$B$4,Ads_Raw!$A$2:$A$1000,"&lt;="&amp;Setup!$B$5),"")</f>
        <v/>
      </c>
      <c r="J10" s="15">
        <f>IFERROR(SUMIFS(Ads_Raw!K:K,Ads_Raw!$L$2:$L$1000,$A10,Ads_Raw!$B$2:$B$1000,$B10,Ads_Raw!$A$2:$A$1000,"&gt;="&amp;Setup!$B$4,Ads_Raw!$A$2:$A$1000,"&lt;="&amp;Setup!$B$5),"")</f>
        <v/>
      </c>
      <c r="K10" s="18">
        <f>IFERROR(J10/F10,"")</f>
        <v/>
      </c>
      <c r="L10" s="17">
        <f>IFERROR(F10/I10,"")</f>
        <v/>
      </c>
      <c r="M10" s="23">
        <f>IF(C10="ROAS",IFERROR(MIN(K10/D10,1.5)*100,""),IFERROR(MIN(E10/L10,1.5)*100,""))</f>
        <v/>
      </c>
      <c r="N10" s="3">
        <f>IFERROR(F10*M10,"")</f>
        <v/>
      </c>
    </row>
    <row r="11">
      <c r="A11" s="3">
        <f>IF(Staff_Client_Targets!A11&lt;&gt;"",Staff_Client_Targets!A11,"")</f>
        <v/>
      </c>
      <c r="B11" s="3">
        <f>IF(A11&lt;&gt;"",Staff_Client_Targets!B11,"")</f>
        <v/>
      </c>
      <c r="C11" s="3">
        <f>IF(A11&lt;&gt;"",Staff_Client_Targets!C11,"")</f>
        <v/>
      </c>
      <c r="D11" s="3">
        <f>IF(A11&lt;&gt;"",Staff_Client_Targets!D11,"")</f>
        <v/>
      </c>
      <c r="E11" s="3">
        <f>IF(A11&lt;&gt;"",Staff_Client_Targets!E11,"")</f>
        <v/>
      </c>
      <c r="F11" s="15">
        <f>IFERROR(SUMIFS(Ads_Raw!G:G,Ads_Raw!$L$2:$L$1000,$A11,Ads_Raw!$B$2:$B$1000,$B11,Ads_Raw!$A$2:$A$1000,"&gt;="&amp;Setup!$B$4,Ads_Raw!$A$2:$A$1000,"&lt;="&amp;Setup!$B$5),"")</f>
        <v/>
      </c>
      <c r="G11" s="3">
        <f>IFERROR(SUMIFS(Ads_Raw!H:H,Ads_Raw!$L$2:$L$1000,$A11,Ads_Raw!$B$2:$B$1000,$B11,Ads_Raw!$A$2:$A$1000,"&gt;="&amp;Setup!$B$4,Ads_Raw!$A$2:$A$1000,"&lt;="&amp;Setup!$B$5),"")</f>
        <v/>
      </c>
      <c r="H11" s="3">
        <f>IFERROR(SUMIFS(Ads_Raw!I:I,Ads_Raw!$L$2:$L$1000,$A11,Ads_Raw!$B$2:$B$1000,$B11,Ads_Raw!$A$2:$A$1000,"&gt;="&amp;Setup!$B$4,Ads_Raw!$A$2:$A$1000,"&lt;="&amp;Setup!$B$5),"")</f>
        <v/>
      </c>
      <c r="I11" s="3">
        <f>IFERROR(SUMIFS(Ads_Raw!J:J,Ads_Raw!$L$2:$L$1000,$A11,Ads_Raw!$B$2:$B$1000,$B11,Ads_Raw!$A$2:$A$1000,"&gt;="&amp;Setup!$B$4,Ads_Raw!$A$2:$A$1000,"&lt;="&amp;Setup!$B$5),"")</f>
        <v/>
      </c>
      <c r="J11" s="15">
        <f>IFERROR(SUMIFS(Ads_Raw!K:K,Ads_Raw!$L$2:$L$1000,$A11,Ads_Raw!$B$2:$B$1000,$B11,Ads_Raw!$A$2:$A$1000,"&gt;="&amp;Setup!$B$4,Ads_Raw!$A$2:$A$1000,"&lt;="&amp;Setup!$B$5),"")</f>
        <v/>
      </c>
      <c r="K11" s="18">
        <f>IFERROR(J11/F11,"")</f>
        <v/>
      </c>
      <c r="L11" s="17">
        <f>IFERROR(F11/I11,"")</f>
        <v/>
      </c>
      <c r="M11" s="23">
        <f>IF(C11="ROAS",IFERROR(MIN(K11/D11,1.5)*100,""),IFERROR(MIN(E11/L11,1.5)*100,""))</f>
        <v/>
      </c>
      <c r="N11" s="3">
        <f>IFERROR(F11*M11,"")</f>
        <v/>
      </c>
    </row>
    <row r="12">
      <c r="A12" s="3">
        <f>IF(Staff_Client_Targets!A12&lt;&gt;"",Staff_Client_Targets!A12,"")</f>
        <v/>
      </c>
      <c r="B12" s="3">
        <f>IF(A12&lt;&gt;"",Staff_Client_Targets!B12,"")</f>
        <v/>
      </c>
      <c r="C12" s="3">
        <f>IF(A12&lt;&gt;"",Staff_Client_Targets!C12,"")</f>
        <v/>
      </c>
      <c r="D12" s="3">
        <f>IF(A12&lt;&gt;"",Staff_Client_Targets!D12,"")</f>
        <v/>
      </c>
      <c r="E12" s="3">
        <f>IF(A12&lt;&gt;"",Staff_Client_Targets!E12,"")</f>
        <v/>
      </c>
      <c r="F12" s="15">
        <f>IFERROR(SUMIFS(Ads_Raw!G:G,Ads_Raw!$L$2:$L$1000,$A12,Ads_Raw!$B$2:$B$1000,$B12,Ads_Raw!$A$2:$A$1000,"&gt;="&amp;Setup!$B$4,Ads_Raw!$A$2:$A$1000,"&lt;="&amp;Setup!$B$5),"")</f>
        <v/>
      </c>
      <c r="G12" s="3">
        <f>IFERROR(SUMIFS(Ads_Raw!H:H,Ads_Raw!$L$2:$L$1000,$A12,Ads_Raw!$B$2:$B$1000,$B12,Ads_Raw!$A$2:$A$1000,"&gt;="&amp;Setup!$B$4,Ads_Raw!$A$2:$A$1000,"&lt;="&amp;Setup!$B$5),"")</f>
        <v/>
      </c>
      <c r="H12" s="3">
        <f>IFERROR(SUMIFS(Ads_Raw!I:I,Ads_Raw!$L$2:$L$1000,$A12,Ads_Raw!$B$2:$B$1000,$B12,Ads_Raw!$A$2:$A$1000,"&gt;="&amp;Setup!$B$4,Ads_Raw!$A$2:$A$1000,"&lt;="&amp;Setup!$B$5),"")</f>
        <v/>
      </c>
      <c r="I12" s="3">
        <f>IFERROR(SUMIFS(Ads_Raw!J:J,Ads_Raw!$L$2:$L$1000,$A12,Ads_Raw!$B$2:$B$1000,$B12,Ads_Raw!$A$2:$A$1000,"&gt;="&amp;Setup!$B$4,Ads_Raw!$A$2:$A$1000,"&lt;="&amp;Setup!$B$5),"")</f>
        <v/>
      </c>
      <c r="J12" s="15">
        <f>IFERROR(SUMIFS(Ads_Raw!K:K,Ads_Raw!$L$2:$L$1000,$A12,Ads_Raw!$B$2:$B$1000,$B12,Ads_Raw!$A$2:$A$1000,"&gt;="&amp;Setup!$B$4,Ads_Raw!$A$2:$A$1000,"&lt;="&amp;Setup!$B$5),"")</f>
        <v/>
      </c>
      <c r="K12" s="18">
        <f>IFERROR(J12/F12,"")</f>
        <v/>
      </c>
      <c r="L12" s="17">
        <f>IFERROR(F12/I12,"")</f>
        <v/>
      </c>
      <c r="M12" s="23">
        <f>IF(C12="ROAS",IFERROR(MIN(K12/D12,1.5)*100,""),IFERROR(MIN(E12/L12,1.5)*100,""))</f>
        <v/>
      </c>
      <c r="N12" s="3">
        <f>IFERROR(F12*M12,"")</f>
        <v/>
      </c>
    </row>
    <row r="13">
      <c r="A13" s="3">
        <f>IF(Staff_Client_Targets!A13&lt;&gt;"",Staff_Client_Targets!A13,"")</f>
        <v/>
      </c>
      <c r="B13" s="3">
        <f>IF(A13&lt;&gt;"",Staff_Client_Targets!B13,"")</f>
        <v/>
      </c>
      <c r="C13" s="3">
        <f>IF(A13&lt;&gt;"",Staff_Client_Targets!C13,"")</f>
        <v/>
      </c>
      <c r="D13" s="3">
        <f>IF(A13&lt;&gt;"",Staff_Client_Targets!D13,"")</f>
        <v/>
      </c>
      <c r="E13" s="3">
        <f>IF(A13&lt;&gt;"",Staff_Client_Targets!E13,"")</f>
        <v/>
      </c>
      <c r="F13" s="15">
        <f>IFERROR(SUMIFS(Ads_Raw!G:G,Ads_Raw!$L$2:$L$1000,$A13,Ads_Raw!$B$2:$B$1000,$B13,Ads_Raw!$A$2:$A$1000,"&gt;="&amp;Setup!$B$4,Ads_Raw!$A$2:$A$1000,"&lt;="&amp;Setup!$B$5),"")</f>
        <v/>
      </c>
      <c r="G13" s="3">
        <f>IFERROR(SUMIFS(Ads_Raw!H:H,Ads_Raw!$L$2:$L$1000,$A13,Ads_Raw!$B$2:$B$1000,$B13,Ads_Raw!$A$2:$A$1000,"&gt;="&amp;Setup!$B$4,Ads_Raw!$A$2:$A$1000,"&lt;="&amp;Setup!$B$5),"")</f>
        <v/>
      </c>
      <c r="H13" s="3">
        <f>IFERROR(SUMIFS(Ads_Raw!I:I,Ads_Raw!$L$2:$L$1000,$A13,Ads_Raw!$B$2:$B$1000,$B13,Ads_Raw!$A$2:$A$1000,"&gt;="&amp;Setup!$B$4,Ads_Raw!$A$2:$A$1000,"&lt;="&amp;Setup!$B$5),"")</f>
        <v/>
      </c>
      <c r="I13" s="3">
        <f>IFERROR(SUMIFS(Ads_Raw!J:J,Ads_Raw!$L$2:$L$1000,$A13,Ads_Raw!$B$2:$B$1000,$B13,Ads_Raw!$A$2:$A$1000,"&gt;="&amp;Setup!$B$4,Ads_Raw!$A$2:$A$1000,"&lt;="&amp;Setup!$B$5),"")</f>
        <v/>
      </c>
      <c r="J13" s="15">
        <f>IFERROR(SUMIFS(Ads_Raw!K:K,Ads_Raw!$L$2:$L$1000,$A13,Ads_Raw!$B$2:$B$1000,$B13,Ads_Raw!$A$2:$A$1000,"&gt;="&amp;Setup!$B$4,Ads_Raw!$A$2:$A$1000,"&lt;="&amp;Setup!$B$5),"")</f>
        <v/>
      </c>
      <c r="K13" s="18">
        <f>IFERROR(J13/F13,"")</f>
        <v/>
      </c>
      <c r="L13" s="17">
        <f>IFERROR(F13/I13,"")</f>
        <v/>
      </c>
      <c r="M13" s="23">
        <f>IF(C13="ROAS",IFERROR(MIN(K13/D13,1.5)*100,""),IFERROR(MIN(E13/L13,1.5)*100,""))</f>
        <v/>
      </c>
      <c r="N13" s="3">
        <f>IFERROR(F13*M13,"")</f>
        <v/>
      </c>
    </row>
    <row r="14">
      <c r="A14" s="3">
        <f>IF(Staff_Client_Targets!A14&lt;&gt;"",Staff_Client_Targets!A14,"")</f>
        <v/>
      </c>
      <c r="B14" s="3">
        <f>IF(A14&lt;&gt;"",Staff_Client_Targets!B14,"")</f>
        <v/>
      </c>
      <c r="C14" s="3">
        <f>IF(A14&lt;&gt;"",Staff_Client_Targets!C14,"")</f>
        <v/>
      </c>
      <c r="D14" s="3">
        <f>IF(A14&lt;&gt;"",Staff_Client_Targets!D14,"")</f>
        <v/>
      </c>
      <c r="E14" s="3">
        <f>IF(A14&lt;&gt;"",Staff_Client_Targets!E14,"")</f>
        <v/>
      </c>
      <c r="F14" s="15">
        <f>IFERROR(SUMIFS(Ads_Raw!G:G,Ads_Raw!$L$2:$L$1000,$A14,Ads_Raw!$B$2:$B$1000,$B14,Ads_Raw!$A$2:$A$1000,"&gt;="&amp;Setup!$B$4,Ads_Raw!$A$2:$A$1000,"&lt;="&amp;Setup!$B$5),"")</f>
        <v/>
      </c>
      <c r="G14" s="3">
        <f>IFERROR(SUMIFS(Ads_Raw!H:H,Ads_Raw!$L$2:$L$1000,$A14,Ads_Raw!$B$2:$B$1000,$B14,Ads_Raw!$A$2:$A$1000,"&gt;="&amp;Setup!$B$4,Ads_Raw!$A$2:$A$1000,"&lt;="&amp;Setup!$B$5),"")</f>
        <v/>
      </c>
      <c r="H14" s="3">
        <f>IFERROR(SUMIFS(Ads_Raw!I:I,Ads_Raw!$L$2:$L$1000,$A14,Ads_Raw!$B$2:$B$1000,$B14,Ads_Raw!$A$2:$A$1000,"&gt;="&amp;Setup!$B$4,Ads_Raw!$A$2:$A$1000,"&lt;="&amp;Setup!$B$5),"")</f>
        <v/>
      </c>
      <c r="I14" s="3">
        <f>IFERROR(SUMIFS(Ads_Raw!J:J,Ads_Raw!$L$2:$L$1000,$A14,Ads_Raw!$B$2:$B$1000,$B14,Ads_Raw!$A$2:$A$1000,"&gt;="&amp;Setup!$B$4,Ads_Raw!$A$2:$A$1000,"&lt;="&amp;Setup!$B$5),"")</f>
        <v/>
      </c>
      <c r="J14" s="15">
        <f>IFERROR(SUMIFS(Ads_Raw!K:K,Ads_Raw!$L$2:$L$1000,$A14,Ads_Raw!$B$2:$B$1000,$B14,Ads_Raw!$A$2:$A$1000,"&gt;="&amp;Setup!$B$4,Ads_Raw!$A$2:$A$1000,"&lt;="&amp;Setup!$B$5),"")</f>
        <v/>
      </c>
      <c r="K14" s="18">
        <f>IFERROR(J14/F14,"")</f>
        <v/>
      </c>
      <c r="L14" s="17">
        <f>IFERROR(F14/I14,"")</f>
        <v/>
      </c>
      <c r="M14" s="23">
        <f>IF(C14="ROAS",IFERROR(MIN(K14/D14,1.5)*100,""),IFERROR(MIN(E14/L14,1.5)*100,""))</f>
        <v/>
      </c>
      <c r="N14" s="3">
        <f>IFERROR(F14*M14,"")</f>
        <v/>
      </c>
    </row>
    <row r="15">
      <c r="A15" s="3">
        <f>IF(Staff_Client_Targets!A15&lt;&gt;"",Staff_Client_Targets!A15,"")</f>
        <v/>
      </c>
      <c r="B15" s="3">
        <f>IF(A15&lt;&gt;"",Staff_Client_Targets!B15,"")</f>
        <v/>
      </c>
      <c r="C15" s="3">
        <f>IF(A15&lt;&gt;"",Staff_Client_Targets!C15,"")</f>
        <v/>
      </c>
      <c r="D15" s="3">
        <f>IF(A15&lt;&gt;"",Staff_Client_Targets!D15,"")</f>
        <v/>
      </c>
      <c r="E15" s="3">
        <f>IF(A15&lt;&gt;"",Staff_Client_Targets!E15,"")</f>
        <v/>
      </c>
      <c r="F15" s="15">
        <f>IFERROR(SUMIFS(Ads_Raw!G:G,Ads_Raw!$L$2:$L$1000,$A15,Ads_Raw!$B$2:$B$1000,$B15,Ads_Raw!$A$2:$A$1000,"&gt;="&amp;Setup!$B$4,Ads_Raw!$A$2:$A$1000,"&lt;="&amp;Setup!$B$5),"")</f>
        <v/>
      </c>
      <c r="G15" s="3">
        <f>IFERROR(SUMIFS(Ads_Raw!H:H,Ads_Raw!$L$2:$L$1000,$A15,Ads_Raw!$B$2:$B$1000,$B15,Ads_Raw!$A$2:$A$1000,"&gt;="&amp;Setup!$B$4,Ads_Raw!$A$2:$A$1000,"&lt;="&amp;Setup!$B$5),"")</f>
        <v/>
      </c>
      <c r="H15" s="3">
        <f>IFERROR(SUMIFS(Ads_Raw!I:I,Ads_Raw!$L$2:$L$1000,$A15,Ads_Raw!$B$2:$B$1000,$B15,Ads_Raw!$A$2:$A$1000,"&gt;="&amp;Setup!$B$4,Ads_Raw!$A$2:$A$1000,"&lt;="&amp;Setup!$B$5),"")</f>
        <v/>
      </c>
      <c r="I15" s="3">
        <f>IFERROR(SUMIFS(Ads_Raw!J:J,Ads_Raw!$L$2:$L$1000,$A15,Ads_Raw!$B$2:$B$1000,$B15,Ads_Raw!$A$2:$A$1000,"&gt;="&amp;Setup!$B$4,Ads_Raw!$A$2:$A$1000,"&lt;="&amp;Setup!$B$5),"")</f>
        <v/>
      </c>
      <c r="J15" s="15">
        <f>IFERROR(SUMIFS(Ads_Raw!K:K,Ads_Raw!$L$2:$L$1000,$A15,Ads_Raw!$B$2:$B$1000,$B15,Ads_Raw!$A$2:$A$1000,"&gt;="&amp;Setup!$B$4,Ads_Raw!$A$2:$A$1000,"&lt;="&amp;Setup!$B$5),"")</f>
        <v/>
      </c>
      <c r="K15" s="18">
        <f>IFERROR(J15/F15,"")</f>
        <v/>
      </c>
      <c r="L15" s="17">
        <f>IFERROR(F15/I15,"")</f>
        <v/>
      </c>
      <c r="M15" s="23">
        <f>IF(C15="ROAS",IFERROR(MIN(K15/D15,1.5)*100,""),IFERROR(MIN(E15/L15,1.5)*100,""))</f>
        <v/>
      </c>
      <c r="N15" s="3">
        <f>IFERROR(F15*M15,"")</f>
        <v/>
      </c>
    </row>
    <row r="16">
      <c r="A16" s="3">
        <f>IF(Staff_Client_Targets!A16&lt;&gt;"",Staff_Client_Targets!A16,"")</f>
        <v/>
      </c>
      <c r="B16" s="3">
        <f>IF(A16&lt;&gt;"",Staff_Client_Targets!B16,"")</f>
        <v/>
      </c>
      <c r="C16" s="3">
        <f>IF(A16&lt;&gt;"",Staff_Client_Targets!C16,"")</f>
        <v/>
      </c>
      <c r="D16" s="3">
        <f>IF(A16&lt;&gt;"",Staff_Client_Targets!D16,"")</f>
        <v/>
      </c>
      <c r="E16" s="3">
        <f>IF(A16&lt;&gt;"",Staff_Client_Targets!E16,"")</f>
        <v/>
      </c>
      <c r="F16" s="15">
        <f>IFERROR(SUMIFS(Ads_Raw!G:G,Ads_Raw!$L$2:$L$1000,$A16,Ads_Raw!$B$2:$B$1000,$B16,Ads_Raw!$A$2:$A$1000,"&gt;="&amp;Setup!$B$4,Ads_Raw!$A$2:$A$1000,"&lt;="&amp;Setup!$B$5),"")</f>
        <v/>
      </c>
      <c r="G16" s="3">
        <f>IFERROR(SUMIFS(Ads_Raw!H:H,Ads_Raw!$L$2:$L$1000,$A16,Ads_Raw!$B$2:$B$1000,$B16,Ads_Raw!$A$2:$A$1000,"&gt;="&amp;Setup!$B$4,Ads_Raw!$A$2:$A$1000,"&lt;="&amp;Setup!$B$5),"")</f>
        <v/>
      </c>
      <c r="H16" s="3">
        <f>IFERROR(SUMIFS(Ads_Raw!I:I,Ads_Raw!$L$2:$L$1000,$A16,Ads_Raw!$B$2:$B$1000,$B16,Ads_Raw!$A$2:$A$1000,"&gt;="&amp;Setup!$B$4,Ads_Raw!$A$2:$A$1000,"&lt;="&amp;Setup!$B$5),"")</f>
        <v/>
      </c>
      <c r="I16" s="3">
        <f>IFERROR(SUMIFS(Ads_Raw!J:J,Ads_Raw!$L$2:$L$1000,$A16,Ads_Raw!$B$2:$B$1000,$B16,Ads_Raw!$A$2:$A$1000,"&gt;="&amp;Setup!$B$4,Ads_Raw!$A$2:$A$1000,"&lt;="&amp;Setup!$B$5),"")</f>
        <v/>
      </c>
      <c r="J16" s="15">
        <f>IFERROR(SUMIFS(Ads_Raw!K:K,Ads_Raw!$L$2:$L$1000,$A16,Ads_Raw!$B$2:$B$1000,$B16,Ads_Raw!$A$2:$A$1000,"&gt;="&amp;Setup!$B$4,Ads_Raw!$A$2:$A$1000,"&lt;="&amp;Setup!$B$5),"")</f>
        <v/>
      </c>
      <c r="K16" s="18">
        <f>IFERROR(J16/F16,"")</f>
        <v/>
      </c>
      <c r="L16" s="17">
        <f>IFERROR(F16/I16,"")</f>
        <v/>
      </c>
      <c r="M16" s="23">
        <f>IF(C16="ROAS",IFERROR(MIN(K16/D16,1.5)*100,""),IFERROR(MIN(E16/L16,1.5)*100,""))</f>
        <v/>
      </c>
      <c r="N16" s="3">
        <f>IFERROR(F16*M16,"")</f>
        <v/>
      </c>
    </row>
    <row r="17">
      <c r="A17" s="3">
        <f>IF(Staff_Client_Targets!A17&lt;&gt;"",Staff_Client_Targets!A17,"")</f>
        <v/>
      </c>
      <c r="B17" s="3">
        <f>IF(A17&lt;&gt;"",Staff_Client_Targets!B17,"")</f>
        <v/>
      </c>
      <c r="C17" s="3">
        <f>IF(A17&lt;&gt;"",Staff_Client_Targets!C17,"")</f>
        <v/>
      </c>
      <c r="D17" s="3">
        <f>IF(A17&lt;&gt;"",Staff_Client_Targets!D17,"")</f>
        <v/>
      </c>
      <c r="E17" s="3">
        <f>IF(A17&lt;&gt;"",Staff_Client_Targets!E17,"")</f>
        <v/>
      </c>
      <c r="F17" s="15">
        <f>IFERROR(SUMIFS(Ads_Raw!G:G,Ads_Raw!$L$2:$L$1000,$A17,Ads_Raw!$B$2:$B$1000,$B17,Ads_Raw!$A$2:$A$1000,"&gt;="&amp;Setup!$B$4,Ads_Raw!$A$2:$A$1000,"&lt;="&amp;Setup!$B$5),"")</f>
        <v/>
      </c>
      <c r="G17" s="3">
        <f>IFERROR(SUMIFS(Ads_Raw!H:H,Ads_Raw!$L$2:$L$1000,$A17,Ads_Raw!$B$2:$B$1000,$B17,Ads_Raw!$A$2:$A$1000,"&gt;="&amp;Setup!$B$4,Ads_Raw!$A$2:$A$1000,"&lt;="&amp;Setup!$B$5),"")</f>
        <v/>
      </c>
      <c r="H17" s="3">
        <f>IFERROR(SUMIFS(Ads_Raw!I:I,Ads_Raw!$L$2:$L$1000,$A17,Ads_Raw!$B$2:$B$1000,$B17,Ads_Raw!$A$2:$A$1000,"&gt;="&amp;Setup!$B$4,Ads_Raw!$A$2:$A$1000,"&lt;="&amp;Setup!$B$5),"")</f>
        <v/>
      </c>
      <c r="I17" s="3">
        <f>IFERROR(SUMIFS(Ads_Raw!J:J,Ads_Raw!$L$2:$L$1000,$A17,Ads_Raw!$B$2:$B$1000,$B17,Ads_Raw!$A$2:$A$1000,"&gt;="&amp;Setup!$B$4,Ads_Raw!$A$2:$A$1000,"&lt;="&amp;Setup!$B$5),"")</f>
        <v/>
      </c>
      <c r="J17" s="15">
        <f>IFERROR(SUMIFS(Ads_Raw!K:K,Ads_Raw!$L$2:$L$1000,$A17,Ads_Raw!$B$2:$B$1000,$B17,Ads_Raw!$A$2:$A$1000,"&gt;="&amp;Setup!$B$4,Ads_Raw!$A$2:$A$1000,"&lt;="&amp;Setup!$B$5),"")</f>
        <v/>
      </c>
      <c r="K17" s="18">
        <f>IFERROR(J17/F17,"")</f>
        <v/>
      </c>
      <c r="L17" s="17">
        <f>IFERROR(F17/I17,"")</f>
        <v/>
      </c>
      <c r="M17" s="23">
        <f>IF(C17="ROAS",IFERROR(MIN(K17/D17,1.5)*100,""),IFERROR(MIN(E17/L17,1.5)*100,""))</f>
        <v/>
      </c>
      <c r="N17" s="3">
        <f>IFERROR(F17*M17,"")</f>
        <v/>
      </c>
    </row>
    <row r="18">
      <c r="A18" s="3">
        <f>IF(Staff_Client_Targets!A18&lt;&gt;"",Staff_Client_Targets!A18,"")</f>
        <v/>
      </c>
      <c r="B18" s="3">
        <f>IF(A18&lt;&gt;"",Staff_Client_Targets!B18,"")</f>
        <v/>
      </c>
      <c r="C18" s="3">
        <f>IF(A18&lt;&gt;"",Staff_Client_Targets!C18,"")</f>
        <v/>
      </c>
      <c r="D18" s="3">
        <f>IF(A18&lt;&gt;"",Staff_Client_Targets!D18,"")</f>
        <v/>
      </c>
      <c r="E18" s="3">
        <f>IF(A18&lt;&gt;"",Staff_Client_Targets!E18,"")</f>
        <v/>
      </c>
      <c r="F18" s="15">
        <f>IFERROR(SUMIFS(Ads_Raw!G:G,Ads_Raw!$L$2:$L$1000,$A18,Ads_Raw!$B$2:$B$1000,$B18,Ads_Raw!$A$2:$A$1000,"&gt;="&amp;Setup!$B$4,Ads_Raw!$A$2:$A$1000,"&lt;="&amp;Setup!$B$5),"")</f>
        <v/>
      </c>
      <c r="G18" s="3">
        <f>IFERROR(SUMIFS(Ads_Raw!H:H,Ads_Raw!$L$2:$L$1000,$A18,Ads_Raw!$B$2:$B$1000,$B18,Ads_Raw!$A$2:$A$1000,"&gt;="&amp;Setup!$B$4,Ads_Raw!$A$2:$A$1000,"&lt;="&amp;Setup!$B$5),"")</f>
        <v/>
      </c>
      <c r="H18" s="3">
        <f>IFERROR(SUMIFS(Ads_Raw!I:I,Ads_Raw!$L$2:$L$1000,$A18,Ads_Raw!$B$2:$B$1000,$B18,Ads_Raw!$A$2:$A$1000,"&gt;="&amp;Setup!$B$4,Ads_Raw!$A$2:$A$1000,"&lt;="&amp;Setup!$B$5),"")</f>
        <v/>
      </c>
      <c r="I18" s="3">
        <f>IFERROR(SUMIFS(Ads_Raw!J:J,Ads_Raw!$L$2:$L$1000,$A18,Ads_Raw!$B$2:$B$1000,$B18,Ads_Raw!$A$2:$A$1000,"&gt;="&amp;Setup!$B$4,Ads_Raw!$A$2:$A$1000,"&lt;="&amp;Setup!$B$5),"")</f>
        <v/>
      </c>
      <c r="J18" s="15">
        <f>IFERROR(SUMIFS(Ads_Raw!K:K,Ads_Raw!$L$2:$L$1000,$A18,Ads_Raw!$B$2:$B$1000,$B18,Ads_Raw!$A$2:$A$1000,"&gt;="&amp;Setup!$B$4,Ads_Raw!$A$2:$A$1000,"&lt;="&amp;Setup!$B$5),"")</f>
        <v/>
      </c>
      <c r="K18" s="18">
        <f>IFERROR(J18/F18,"")</f>
        <v/>
      </c>
      <c r="L18" s="17">
        <f>IFERROR(F18/I18,"")</f>
        <v/>
      </c>
      <c r="M18" s="23">
        <f>IF(C18="ROAS",IFERROR(MIN(K18/D18,1.5)*100,""),IFERROR(MIN(E18/L18,1.5)*100,""))</f>
        <v/>
      </c>
      <c r="N18" s="3">
        <f>IFERROR(F18*M18,"")</f>
        <v/>
      </c>
    </row>
    <row r="19">
      <c r="A19" s="3">
        <f>IF(Staff_Client_Targets!A19&lt;&gt;"",Staff_Client_Targets!A19,"")</f>
        <v/>
      </c>
      <c r="B19" s="3">
        <f>IF(A19&lt;&gt;"",Staff_Client_Targets!B19,"")</f>
        <v/>
      </c>
      <c r="C19" s="3">
        <f>IF(A19&lt;&gt;"",Staff_Client_Targets!C19,"")</f>
        <v/>
      </c>
      <c r="D19" s="3">
        <f>IF(A19&lt;&gt;"",Staff_Client_Targets!D19,"")</f>
        <v/>
      </c>
      <c r="E19" s="3">
        <f>IF(A19&lt;&gt;"",Staff_Client_Targets!E19,"")</f>
        <v/>
      </c>
      <c r="F19" s="15">
        <f>IFERROR(SUMIFS(Ads_Raw!G:G,Ads_Raw!$L$2:$L$1000,$A19,Ads_Raw!$B$2:$B$1000,$B19,Ads_Raw!$A$2:$A$1000,"&gt;="&amp;Setup!$B$4,Ads_Raw!$A$2:$A$1000,"&lt;="&amp;Setup!$B$5),"")</f>
        <v/>
      </c>
      <c r="G19" s="3">
        <f>IFERROR(SUMIFS(Ads_Raw!H:H,Ads_Raw!$L$2:$L$1000,$A19,Ads_Raw!$B$2:$B$1000,$B19,Ads_Raw!$A$2:$A$1000,"&gt;="&amp;Setup!$B$4,Ads_Raw!$A$2:$A$1000,"&lt;="&amp;Setup!$B$5),"")</f>
        <v/>
      </c>
      <c r="H19" s="3">
        <f>IFERROR(SUMIFS(Ads_Raw!I:I,Ads_Raw!$L$2:$L$1000,$A19,Ads_Raw!$B$2:$B$1000,$B19,Ads_Raw!$A$2:$A$1000,"&gt;="&amp;Setup!$B$4,Ads_Raw!$A$2:$A$1000,"&lt;="&amp;Setup!$B$5),"")</f>
        <v/>
      </c>
      <c r="I19" s="3">
        <f>IFERROR(SUMIFS(Ads_Raw!J:J,Ads_Raw!$L$2:$L$1000,$A19,Ads_Raw!$B$2:$B$1000,$B19,Ads_Raw!$A$2:$A$1000,"&gt;="&amp;Setup!$B$4,Ads_Raw!$A$2:$A$1000,"&lt;="&amp;Setup!$B$5),"")</f>
        <v/>
      </c>
      <c r="J19" s="15">
        <f>IFERROR(SUMIFS(Ads_Raw!K:K,Ads_Raw!$L$2:$L$1000,$A19,Ads_Raw!$B$2:$B$1000,$B19,Ads_Raw!$A$2:$A$1000,"&gt;="&amp;Setup!$B$4,Ads_Raw!$A$2:$A$1000,"&lt;="&amp;Setup!$B$5),"")</f>
        <v/>
      </c>
      <c r="K19" s="18">
        <f>IFERROR(J19/F19,"")</f>
        <v/>
      </c>
      <c r="L19" s="17">
        <f>IFERROR(F19/I19,"")</f>
        <v/>
      </c>
      <c r="M19" s="23">
        <f>IF(C19="ROAS",IFERROR(MIN(K19/D19,1.5)*100,""),IFERROR(MIN(E19/L19,1.5)*100,""))</f>
        <v/>
      </c>
      <c r="N19" s="3">
        <f>IFERROR(F19*M19,"")</f>
        <v/>
      </c>
    </row>
    <row r="20">
      <c r="A20" s="3">
        <f>IF(Staff_Client_Targets!A20&lt;&gt;"",Staff_Client_Targets!A20,"")</f>
        <v/>
      </c>
      <c r="B20" s="3">
        <f>IF(A20&lt;&gt;"",Staff_Client_Targets!B20,"")</f>
        <v/>
      </c>
      <c r="C20" s="3">
        <f>IF(A20&lt;&gt;"",Staff_Client_Targets!C20,"")</f>
        <v/>
      </c>
      <c r="D20" s="3">
        <f>IF(A20&lt;&gt;"",Staff_Client_Targets!D20,"")</f>
        <v/>
      </c>
      <c r="E20" s="3">
        <f>IF(A20&lt;&gt;"",Staff_Client_Targets!E20,"")</f>
        <v/>
      </c>
      <c r="F20" s="15">
        <f>IFERROR(SUMIFS(Ads_Raw!G:G,Ads_Raw!$L$2:$L$1000,$A20,Ads_Raw!$B$2:$B$1000,$B20,Ads_Raw!$A$2:$A$1000,"&gt;="&amp;Setup!$B$4,Ads_Raw!$A$2:$A$1000,"&lt;="&amp;Setup!$B$5),"")</f>
        <v/>
      </c>
      <c r="G20" s="3">
        <f>IFERROR(SUMIFS(Ads_Raw!H:H,Ads_Raw!$L$2:$L$1000,$A20,Ads_Raw!$B$2:$B$1000,$B20,Ads_Raw!$A$2:$A$1000,"&gt;="&amp;Setup!$B$4,Ads_Raw!$A$2:$A$1000,"&lt;="&amp;Setup!$B$5),"")</f>
        <v/>
      </c>
      <c r="H20" s="3">
        <f>IFERROR(SUMIFS(Ads_Raw!I:I,Ads_Raw!$L$2:$L$1000,$A20,Ads_Raw!$B$2:$B$1000,$B20,Ads_Raw!$A$2:$A$1000,"&gt;="&amp;Setup!$B$4,Ads_Raw!$A$2:$A$1000,"&lt;="&amp;Setup!$B$5),"")</f>
        <v/>
      </c>
      <c r="I20" s="3">
        <f>IFERROR(SUMIFS(Ads_Raw!J:J,Ads_Raw!$L$2:$L$1000,$A20,Ads_Raw!$B$2:$B$1000,$B20,Ads_Raw!$A$2:$A$1000,"&gt;="&amp;Setup!$B$4,Ads_Raw!$A$2:$A$1000,"&lt;="&amp;Setup!$B$5),"")</f>
        <v/>
      </c>
      <c r="J20" s="15">
        <f>IFERROR(SUMIFS(Ads_Raw!K:K,Ads_Raw!$L$2:$L$1000,$A20,Ads_Raw!$B$2:$B$1000,$B20,Ads_Raw!$A$2:$A$1000,"&gt;="&amp;Setup!$B$4,Ads_Raw!$A$2:$A$1000,"&lt;="&amp;Setup!$B$5),"")</f>
        <v/>
      </c>
      <c r="K20" s="18">
        <f>IFERROR(J20/F20,"")</f>
        <v/>
      </c>
      <c r="L20" s="17">
        <f>IFERROR(F20/I20,"")</f>
        <v/>
      </c>
      <c r="M20" s="23">
        <f>IF(C20="ROAS",IFERROR(MIN(K20/D20,1.5)*100,""),IFERROR(MIN(E20/L20,1.5)*100,""))</f>
        <v/>
      </c>
      <c r="N20" s="3">
        <f>IFERROR(F20*M20,"")</f>
        <v/>
      </c>
    </row>
    <row r="21">
      <c r="A21">
        <f>IF(Staff_Client_Targets!A21&lt;&gt;"",Staff_Client_Targets!A21,"")</f>
        <v/>
      </c>
      <c r="B21">
        <f>IF(A21&lt;&gt;"",Staff_Client_Targets!B21,"")</f>
        <v/>
      </c>
      <c r="C21">
        <f>IF(A21&lt;&gt;"",Staff_Client_Targets!C21,"")</f>
        <v/>
      </c>
      <c r="D21">
        <f>IF(A21&lt;&gt;"",Staff_Client_Targets!D21,"")</f>
        <v/>
      </c>
      <c r="E21">
        <f>IF(A21&lt;&gt;"",Staff_Client_Targets!E21,"")</f>
        <v/>
      </c>
      <c r="F21" s="19">
        <f>IFERROR(SUMIFS(Ads_Raw!G:G,Ads_Raw!$L$2:$L$1000,$A21,Ads_Raw!$B$2:$B$1000,$B21,Ads_Raw!$A$2:$A$1000,"&gt;="&amp;Setup!$B$4,Ads_Raw!$A$2:$A$1000,"&lt;="&amp;Setup!$B$5),"")</f>
        <v/>
      </c>
      <c r="G21">
        <f>IFERROR(SUMIFS(Ads_Raw!H:H,Ads_Raw!$L$2:$L$1000,$A21,Ads_Raw!$B$2:$B$1000,$B21,Ads_Raw!$A$2:$A$1000,"&gt;="&amp;Setup!$B$4,Ads_Raw!$A$2:$A$1000,"&lt;="&amp;Setup!$B$5),"")</f>
        <v/>
      </c>
      <c r="H21">
        <f>IFERROR(SUMIFS(Ads_Raw!I:I,Ads_Raw!$L$2:$L$1000,$A21,Ads_Raw!$B$2:$B$1000,$B21,Ads_Raw!$A$2:$A$1000,"&gt;="&amp;Setup!$B$4,Ads_Raw!$A$2:$A$1000,"&lt;="&amp;Setup!$B$5),"")</f>
        <v/>
      </c>
      <c r="I21">
        <f>IFERROR(SUMIFS(Ads_Raw!J:J,Ads_Raw!$L$2:$L$1000,$A21,Ads_Raw!$B$2:$B$1000,$B21,Ads_Raw!$A$2:$A$1000,"&gt;="&amp;Setup!$B$4,Ads_Raw!$A$2:$A$1000,"&lt;="&amp;Setup!$B$5),"")</f>
        <v/>
      </c>
      <c r="J21" s="19">
        <f>IFERROR(SUMIFS(Ads_Raw!K:K,Ads_Raw!$L$2:$L$1000,$A21,Ads_Raw!$B$2:$B$1000,$B21,Ads_Raw!$A$2:$A$1000,"&gt;="&amp;Setup!$B$4,Ads_Raw!$A$2:$A$1000,"&lt;="&amp;Setup!$B$5),"")</f>
        <v/>
      </c>
      <c r="K21" s="22">
        <f>IFERROR(J21/F21,"")</f>
        <v/>
      </c>
      <c r="L21" s="21">
        <f>IFERROR(F21/I21,"")</f>
        <v/>
      </c>
      <c r="M21" s="24">
        <f>IF(C21="ROAS",IFERROR(MIN(K21/D21,1.5)*100,""),IFERROR(MIN(E21/L21,1.5)*100,""))</f>
        <v/>
      </c>
      <c r="N21">
        <f>IFERROR(F21*M21,"")</f>
        <v/>
      </c>
    </row>
    <row r="22">
      <c r="A22">
        <f>IF(Staff_Client_Targets!A22&lt;&gt;"",Staff_Client_Targets!A22,"")</f>
        <v/>
      </c>
      <c r="B22">
        <f>IF(A22&lt;&gt;"",Staff_Client_Targets!B22,"")</f>
        <v/>
      </c>
      <c r="C22">
        <f>IF(A22&lt;&gt;"",Staff_Client_Targets!C22,"")</f>
        <v/>
      </c>
      <c r="D22">
        <f>IF(A22&lt;&gt;"",Staff_Client_Targets!D22,"")</f>
        <v/>
      </c>
      <c r="E22">
        <f>IF(A22&lt;&gt;"",Staff_Client_Targets!E22,"")</f>
        <v/>
      </c>
      <c r="F22" s="19">
        <f>IFERROR(SUMIFS(Ads_Raw!G:G,Ads_Raw!$L$2:$L$1000,$A22,Ads_Raw!$B$2:$B$1000,$B22,Ads_Raw!$A$2:$A$1000,"&gt;="&amp;Setup!$B$4,Ads_Raw!$A$2:$A$1000,"&lt;="&amp;Setup!$B$5),"")</f>
        <v/>
      </c>
      <c r="G22">
        <f>IFERROR(SUMIFS(Ads_Raw!H:H,Ads_Raw!$L$2:$L$1000,$A22,Ads_Raw!$B$2:$B$1000,$B22,Ads_Raw!$A$2:$A$1000,"&gt;="&amp;Setup!$B$4,Ads_Raw!$A$2:$A$1000,"&lt;="&amp;Setup!$B$5),"")</f>
        <v/>
      </c>
      <c r="H22">
        <f>IFERROR(SUMIFS(Ads_Raw!I:I,Ads_Raw!$L$2:$L$1000,$A22,Ads_Raw!$B$2:$B$1000,$B22,Ads_Raw!$A$2:$A$1000,"&gt;="&amp;Setup!$B$4,Ads_Raw!$A$2:$A$1000,"&lt;="&amp;Setup!$B$5),"")</f>
        <v/>
      </c>
      <c r="I22">
        <f>IFERROR(SUMIFS(Ads_Raw!J:J,Ads_Raw!$L$2:$L$1000,$A22,Ads_Raw!$B$2:$B$1000,$B22,Ads_Raw!$A$2:$A$1000,"&gt;="&amp;Setup!$B$4,Ads_Raw!$A$2:$A$1000,"&lt;="&amp;Setup!$B$5),"")</f>
        <v/>
      </c>
      <c r="J22" s="19">
        <f>IFERROR(SUMIFS(Ads_Raw!K:K,Ads_Raw!$L$2:$L$1000,$A22,Ads_Raw!$B$2:$B$1000,$B22,Ads_Raw!$A$2:$A$1000,"&gt;="&amp;Setup!$B$4,Ads_Raw!$A$2:$A$1000,"&lt;="&amp;Setup!$B$5),"")</f>
        <v/>
      </c>
      <c r="K22" s="22">
        <f>IFERROR(J22/F22,"")</f>
        <v/>
      </c>
      <c r="L22" s="21">
        <f>IFERROR(F22/I22,"")</f>
        <v/>
      </c>
      <c r="M22" s="24">
        <f>IF(C22="ROAS",IFERROR(MIN(K22/D22,1.5)*100,""),IFERROR(MIN(E22/L22,1.5)*100,""))</f>
        <v/>
      </c>
      <c r="N22">
        <f>IFERROR(F22*M22,"")</f>
        <v/>
      </c>
    </row>
    <row r="23">
      <c r="A23">
        <f>IF(Staff_Client_Targets!A23&lt;&gt;"",Staff_Client_Targets!A23,"")</f>
        <v/>
      </c>
      <c r="B23">
        <f>IF(A23&lt;&gt;"",Staff_Client_Targets!B23,"")</f>
        <v/>
      </c>
      <c r="C23">
        <f>IF(A23&lt;&gt;"",Staff_Client_Targets!C23,"")</f>
        <v/>
      </c>
      <c r="D23">
        <f>IF(A23&lt;&gt;"",Staff_Client_Targets!D23,"")</f>
        <v/>
      </c>
      <c r="E23">
        <f>IF(A23&lt;&gt;"",Staff_Client_Targets!E23,"")</f>
        <v/>
      </c>
      <c r="F23" s="19">
        <f>IFERROR(SUMIFS(Ads_Raw!G:G,Ads_Raw!$L$2:$L$1000,$A23,Ads_Raw!$B$2:$B$1000,$B23,Ads_Raw!$A$2:$A$1000,"&gt;="&amp;Setup!$B$4,Ads_Raw!$A$2:$A$1000,"&lt;="&amp;Setup!$B$5),"")</f>
        <v/>
      </c>
      <c r="G23">
        <f>IFERROR(SUMIFS(Ads_Raw!H:H,Ads_Raw!$L$2:$L$1000,$A23,Ads_Raw!$B$2:$B$1000,$B23,Ads_Raw!$A$2:$A$1000,"&gt;="&amp;Setup!$B$4,Ads_Raw!$A$2:$A$1000,"&lt;="&amp;Setup!$B$5),"")</f>
        <v/>
      </c>
      <c r="H23">
        <f>IFERROR(SUMIFS(Ads_Raw!I:I,Ads_Raw!$L$2:$L$1000,$A23,Ads_Raw!$B$2:$B$1000,$B23,Ads_Raw!$A$2:$A$1000,"&gt;="&amp;Setup!$B$4,Ads_Raw!$A$2:$A$1000,"&lt;="&amp;Setup!$B$5),"")</f>
        <v/>
      </c>
      <c r="I23">
        <f>IFERROR(SUMIFS(Ads_Raw!J:J,Ads_Raw!$L$2:$L$1000,$A23,Ads_Raw!$B$2:$B$1000,$B23,Ads_Raw!$A$2:$A$1000,"&gt;="&amp;Setup!$B$4,Ads_Raw!$A$2:$A$1000,"&lt;="&amp;Setup!$B$5),"")</f>
        <v/>
      </c>
      <c r="J23" s="19">
        <f>IFERROR(SUMIFS(Ads_Raw!K:K,Ads_Raw!$L$2:$L$1000,$A23,Ads_Raw!$B$2:$B$1000,$B23,Ads_Raw!$A$2:$A$1000,"&gt;="&amp;Setup!$B$4,Ads_Raw!$A$2:$A$1000,"&lt;="&amp;Setup!$B$5),"")</f>
        <v/>
      </c>
      <c r="K23" s="22">
        <f>IFERROR(J23/F23,"")</f>
        <v/>
      </c>
      <c r="L23" s="21">
        <f>IFERROR(F23/I23,"")</f>
        <v/>
      </c>
      <c r="M23" s="24">
        <f>IF(C23="ROAS",IFERROR(MIN(K23/D23,1.5)*100,""),IFERROR(MIN(E23/L23,1.5)*100,""))</f>
        <v/>
      </c>
      <c r="N23">
        <f>IFERROR(F23*M23,"")</f>
        <v/>
      </c>
    </row>
    <row r="24">
      <c r="A24">
        <f>IF(Staff_Client_Targets!A24&lt;&gt;"",Staff_Client_Targets!A24,"")</f>
        <v/>
      </c>
      <c r="B24">
        <f>IF(A24&lt;&gt;"",Staff_Client_Targets!B24,"")</f>
        <v/>
      </c>
      <c r="C24">
        <f>IF(A24&lt;&gt;"",Staff_Client_Targets!C24,"")</f>
        <v/>
      </c>
      <c r="D24">
        <f>IF(A24&lt;&gt;"",Staff_Client_Targets!D24,"")</f>
        <v/>
      </c>
      <c r="E24">
        <f>IF(A24&lt;&gt;"",Staff_Client_Targets!E24,"")</f>
        <v/>
      </c>
      <c r="F24" s="19">
        <f>IFERROR(SUMIFS(Ads_Raw!G:G,Ads_Raw!$L$2:$L$1000,$A24,Ads_Raw!$B$2:$B$1000,$B24,Ads_Raw!$A$2:$A$1000,"&gt;="&amp;Setup!$B$4,Ads_Raw!$A$2:$A$1000,"&lt;="&amp;Setup!$B$5),"")</f>
        <v/>
      </c>
      <c r="G24">
        <f>IFERROR(SUMIFS(Ads_Raw!H:H,Ads_Raw!$L$2:$L$1000,$A24,Ads_Raw!$B$2:$B$1000,$B24,Ads_Raw!$A$2:$A$1000,"&gt;="&amp;Setup!$B$4,Ads_Raw!$A$2:$A$1000,"&lt;="&amp;Setup!$B$5),"")</f>
        <v/>
      </c>
      <c r="H24">
        <f>IFERROR(SUMIFS(Ads_Raw!I:I,Ads_Raw!$L$2:$L$1000,$A24,Ads_Raw!$B$2:$B$1000,$B24,Ads_Raw!$A$2:$A$1000,"&gt;="&amp;Setup!$B$4,Ads_Raw!$A$2:$A$1000,"&lt;="&amp;Setup!$B$5),"")</f>
        <v/>
      </c>
      <c r="I24">
        <f>IFERROR(SUMIFS(Ads_Raw!J:J,Ads_Raw!$L$2:$L$1000,$A24,Ads_Raw!$B$2:$B$1000,$B24,Ads_Raw!$A$2:$A$1000,"&gt;="&amp;Setup!$B$4,Ads_Raw!$A$2:$A$1000,"&lt;="&amp;Setup!$B$5),"")</f>
        <v/>
      </c>
      <c r="J24" s="19">
        <f>IFERROR(SUMIFS(Ads_Raw!K:K,Ads_Raw!$L$2:$L$1000,$A24,Ads_Raw!$B$2:$B$1000,$B24,Ads_Raw!$A$2:$A$1000,"&gt;="&amp;Setup!$B$4,Ads_Raw!$A$2:$A$1000,"&lt;="&amp;Setup!$B$5),"")</f>
        <v/>
      </c>
      <c r="K24" s="22">
        <f>IFERROR(J24/F24,"")</f>
        <v/>
      </c>
      <c r="L24" s="21">
        <f>IFERROR(F24/I24,"")</f>
        <v/>
      </c>
      <c r="M24" s="24">
        <f>IF(C24="ROAS",IFERROR(MIN(K24/D24,1.5)*100,""),IFERROR(MIN(E24/L24,1.5)*100,""))</f>
        <v/>
      </c>
      <c r="N24">
        <f>IFERROR(F24*M24,"")</f>
        <v/>
      </c>
    </row>
    <row r="25">
      <c r="A25">
        <f>IF(Staff_Client_Targets!A25&lt;&gt;"",Staff_Client_Targets!A25,"")</f>
        <v/>
      </c>
      <c r="B25">
        <f>IF(A25&lt;&gt;"",Staff_Client_Targets!B25,"")</f>
        <v/>
      </c>
      <c r="C25">
        <f>IF(A25&lt;&gt;"",Staff_Client_Targets!C25,"")</f>
        <v/>
      </c>
      <c r="D25">
        <f>IF(A25&lt;&gt;"",Staff_Client_Targets!D25,"")</f>
        <v/>
      </c>
      <c r="E25">
        <f>IF(A25&lt;&gt;"",Staff_Client_Targets!E25,"")</f>
        <v/>
      </c>
      <c r="F25" s="19">
        <f>IFERROR(SUMIFS(Ads_Raw!G:G,Ads_Raw!$L$2:$L$1000,$A25,Ads_Raw!$B$2:$B$1000,$B25,Ads_Raw!$A$2:$A$1000,"&gt;="&amp;Setup!$B$4,Ads_Raw!$A$2:$A$1000,"&lt;="&amp;Setup!$B$5),"")</f>
        <v/>
      </c>
      <c r="G25">
        <f>IFERROR(SUMIFS(Ads_Raw!H:H,Ads_Raw!$L$2:$L$1000,$A25,Ads_Raw!$B$2:$B$1000,$B25,Ads_Raw!$A$2:$A$1000,"&gt;="&amp;Setup!$B$4,Ads_Raw!$A$2:$A$1000,"&lt;="&amp;Setup!$B$5),"")</f>
        <v/>
      </c>
      <c r="H25">
        <f>IFERROR(SUMIFS(Ads_Raw!I:I,Ads_Raw!$L$2:$L$1000,$A25,Ads_Raw!$B$2:$B$1000,$B25,Ads_Raw!$A$2:$A$1000,"&gt;="&amp;Setup!$B$4,Ads_Raw!$A$2:$A$1000,"&lt;="&amp;Setup!$B$5),"")</f>
        <v/>
      </c>
      <c r="I25">
        <f>IFERROR(SUMIFS(Ads_Raw!J:J,Ads_Raw!$L$2:$L$1000,$A25,Ads_Raw!$B$2:$B$1000,$B25,Ads_Raw!$A$2:$A$1000,"&gt;="&amp;Setup!$B$4,Ads_Raw!$A$2:$A$1000,"&lt;="&amp;Setup!$B$5),"")</f>
        <v/>
      </c>
      <c r="J25" s="19">
        <f>IFERROR(SUMIFS(Ads_Raw!K:K,Ads_Raw!$L$2:$L$1000,$A25,Ads_Raw!$B$2:$B$1000,$B25,Ads_Raw!$A$2:$A$1000,"&gt;="&amp;Setup!$B$4,Ads_Raw!$A$2:$A$1000,"&lt;="&amp;Setup!$B$5),"")</f>
        <v/>
      </c>
      <c r="K25" s="22">
        <f>IFERROR(J25/F25,"")</f>
        <v/>
      </c>
      <c r="L25" s="21">
        <f>IFERROR(F25/I25,"")</f>
        <v/>
      </c>
      <c r="M25" s="24">
        <f>IF(C25="ROAS",IFERROR(MIN(K25/D25,1.5)*100,""),IFERROR(MIN(E25/L25,1.5)*100,""))</f>
        <v/>
      </c>
      <c r="N25">
        <f>IFERROR(F25*M25,"")</f>
        <v/>
      </c>
    </row>
    <row r="26">
      <c r="A26">
        <f>IF(Staff_Client_Targets!A26&lt;&gt;"",Staff_Client_Targets!A26,"")</f>
        <v/>
      </c>
      <c r="B26">
        <f>IF(A26&lt;&gt;"",Staff_Client_Targets!B26,"")</f>
        <v/>
      </c>
      <c r="C26">
        <f>IF(A26&lt;&gt;"",Staff_Client_Targets!C26,"")</f>
        <v/>
      </c>
      <c r="D26">
        <f>IF(A26&lt;&gt;"",Staff_Client_Targets!D26,"")</f>
        <v/>
      </c>
      <c r="E26">
        <f>IF(A26&lt;&gt;"",Staff_Client_Targets!E26,"")</f>
        <v/>
      </c>
      <c r="F26" s="19">
        <f>IFERROR(SUMIFS(Ads_Raw!G:G,Ads_Raw!$L$2:$L$1000,$A26,Ads_Raw!$B$2:$B$1000,$B26,Ads_Raw!$A$2:$A$1000,"&gt;="&amp;Setup!$B$4,Ads_Raw!$A$2:$A$1000,"&lt;="&amp;Setup!$B$5),"")</f>
        <v/>
      </c>
      <c r="G26">
        <f>IFERROR(SUMIFS(Ads_Raw!H:H,Ads_Raw!$L$2:$L$1000,$A26,Ads_Raw!$B$2:$B$1000,$B26,Ads_Raw!$A$2:$A$1000,"&gt;="&amp;Setup!$B$4,Ads_Raw!$A$2:$A$1000,"&lt;="&amp;Setup!$B$5),"")</f>
        <v/>
      </c>
      <c r="H26">
        <f>IFERROR(SUMIFS(Ads_Raw!I:I,Ads_Raw!$L$2:$L$1000,$A26,Ads_Raw!$B$2:$B$1000,$B26,Ads_Raw!$A$2:$A$1000,"&gt;="&amp;Setup!$B$4,Ads_Raw!$A$2:$A$1000,"&lt;="&amp;Setup!$B$5),"")</f>
        <v/>
      </c>
      <c r="I26">
        <f>IFERROR(SUMIFS(Ads_Raw!J:J,Ads_Raw!$L$2:$L$1000,$A26,Ads_Raw!$B$2:$B$1000,$B26,Ads_Raw!$A$2:$A$1000,"&gt;="&amp;Setup!$B$4,Ads_Raw!$A$2:$A$1000,"&lt;="&amp;Setup!$B$5),"")</f>
        <v/>
      </c>
      <c r="J26" s="19">
        <f>IFERROR(SUMIFS(Ads_Raw!K:K,Ads_Raw!$L$2:$L$1000,$A26,Ads_Raw!$B$2:$B$1000,$B26,Ads_Raw!$A$2:$A$1000,"&gt;="&amp;Setup!$B$4,Ads_Raw!$A$2:$A$1000,"&lt;="&amp;Setup!$B$5),"")</f>
        <v/>
      </c>
      <c r="K26" s="22">
        <f>IFERROR(J26/F26,"")</f>
        <v/>
      </c>
      <c r="L26" s="21">
        <f>IFERROR(F26/I26,"")</f>
        <v/>
      </c>
      <c r="M26" s="24">
        <f>IF(C26="ROAS",IFERROR(MIN(K26/D26,1.5)*100,""),IFERROR(MIN(E26/L26,1.5)*100,""))</f>
        <v/>
      </c>
      <c r="N26">
        <f>IFERROR(F26*M26,"")</f>
        <v/>
      </c>
    </row>
    <row r="27">
      <c r="A27">
        <f>IF(Staff_Client_Targets!A27&lt;&gt;"",Staff_Client_Targets!A27,"")</f>
        <v/>
      </c>
      <c r="B27">
        <f>IF(A27&lt;&gt;"",Staff_Client_Targets!B27,"")</f>
        <v/>
      </c>
      <c r="C27">
        <f>IF(A27&lt;&gt;"",Staff_Client_Targets!C27,"")</f>
        <v/>
      </c>
      <c r="D27">
        <f>IF(A27&lt;&gt;"",Staff_Client_Targets!D27,"")</f>
        <v/>
      </c>
      <c r="E27">
        <f>IF(A27&lt;&gt;"",Staff_Client_Targets!E27,"")</f>
        <v/>
      </c>
      <c r="F27" s="19">
        <f>IFERROR(SUMIFS(Ads_Raw!G:G,Ads_Raw!$L$2:$L$1000,$A27,Ads_Raw!$B$2:$B$1000,$B27,Ads_Raw!$A$2:$A$1000,"&gt;="&amp;Setup!$B$4,Ads_Raw!$A$2:$A$1000,"&lt;="&amp;Setup!$B$5),"")</f>
        <v/>
      </c>
      <c r="G27">
        <f>IFERROR(SUMIFS(Ads_Raw!H:H,Ads_Raw!$L$2:$L$1000,$A27,Ads_Raw!$B$2:$B$1000,$B27,Ads_Raw!$A$2:$A$1000,"&gt;="&amp;Setup!$B$4,Ads_Raw!$A$2:$A$1000,"&lt;="&amp;Setup!$B$5),"")</f>
        <v/>
      </c>
      <c r="H27">
        <f>IFERROR(SUMIFS(Ads_Raw!I:I,Ads_Raw!$L$2:$L$1000,$A27,Ads_Raw!$B$2:$B$1000,$B27,Ads_Raw!$A$2:$A$1000,"&gt;="&amp;Setup!$B$4,Ads_Raw!$A$2:$A$1000,"&lt;="&amp;Setup!$B$5),"")</f>
        <v/>
      </c>
      <c r="I27">
        <f>IFERROR(SUMIFS(Ads_Raw!J:J,Ads_Raw!$L$2:$L$1000,$A27,Ads_Raw!$B$2:$B$1000,$B27,Ads_Raw!$A$2:$A$1000,"&gt;="&amp;Setup!$B$4,Ads_Raw!$A$2:$A$1000,"&lt;="&amp;Setup!$B$5),"")</f>
        <v/>
      </c>
      <c r="J27" s="19">
        <f>IFERROR(SUMIFS(Ads_Raw!K:K,Ads_Raw!$L$2:$L$1000,$A27,Ads_Raw!$B$2:$B$1000,$B27,Ads_Raw!$A$2:$A$1000,"&gt;="&amp;Setup!$B$4,Ads_Raw!$A$2:$A$1000,"&lt;="&amp;Setup!$B$5),"")</f>
        <v/>
      </c>
      <c r="K27" s="22">
        <f>IFERROR(J27/F27,"")</f>
        <v/>
      </c>
      <c r="L27" s="21">
        <f>IFERROR(F27/I27,"")</f>
        <v/>
      </c>
      <c r="M27" s="24">
        <f>IF(C27="ROAS",IFERROR(MIN(K27/D27,1.5)*100,""),IFERROR(MIN(E27/L27,1.5)*100,""))</f>
        <v/>
      </c>
      <c r="N27">
        <f>IFERROR(F27*M27,"")</f>
        <v/>
      </c>
    </row>
    <row r="28">
      <c r="A28">
        <f>IF(Staff_Client_Targets!A28&lt;&gt;"",Staff_Client_Targets!A28,"")</f>
        <v/>
      </c>
      <c r="B28">
        <f>IF(A28&lt;&gt;"",Staff_Client_Targets!B28,"")</f>
        <v/>
      </c>
      <c r="C28">
        <f>IF(A28&lt;&gt;"",Staff_Client_Targets!C28,"")</f>
        <v/>
      </c>
      <c r="D28">
        <f>IF(A28&lt;&gt;"",Staff_Client_Targets!D28,"")</f>
        <v/>
      </c>
      <c r="E28">
        <f>IF(A28&lt;&gt;"",Staff_Client_Targets!E28,"")</f>
        <v/>
      </c>
      <c r="F28" s="19">
        <f>IFERROR(SUMIFS(Ads_Raw!G:G,Ads_Raw!$L$2:$L$1000,$A28,Ads_Raw!$B$2:$B$1000,$B28,Ads_Raw!$A$2:$A$1000,"&gt;="&amp;Setup!$B$4,Ads_Raw!$A$2:$A$1000,"&lt;="&amp;Setup!$B$5),"")</f>
        <v/>
      </c>
      <c r="G28">
        <f>IFERROR(SUMIFS(Ads_Raw!H:H,Ads_Raw!$L$2:$L$1000,$A28,Ads_Raw!$B$2:$B$1000,$B28,Ads_Raw!$A$2:$A$1000,"&gt;="&amp;Setup!$B$4,Ads_Raw!$A$2:$A$1000,"&lt;="&amp;Setup!$B$5),"")</f>
        <v/>
      </c>
      <c r="H28">
        <f>IFERROR(SUMIFS(Ads_Raw!I:I,Ads_Raw!$L$2:$L$1000,$A28,Ads_Raw!$B$2:$B$1000,$B28,Ads_Raw!$A$2:$A$1000,"&gt;="&amp;Setup!$B$4,Ads_Raw!$A$2:$A$1000,"&lt;="&amp;Setup!$B$5),"")</f>
        <v/>
      </c>
      <c r="I28">
        <f>IFERROR(SUMIFS(Ads_Raw!J:J,Ads_Raw!$L$2:$L$1000,$A28,Ads_Raw!$B$2:$B$1000,$B28,Ads_Raw!$A$2:$A$1000,"&gt;="&amp;Setup!$B$4,Ads_Raw!$A$2:$A$1000,"&lt;="&amp;Setup!$B$5),"")</f>
        <v/>
      </c>
      <c r="J28" s="19">
        <f>IFERROR(SUMIFS(Ads_Raw!K:K,Ads_Raw!$L$2:$L$1000,$A28,Ads_Raw!$B$2:$B$1000,$B28,Ads_Raw!$A$2:$A$1000,"&gt;="&amp;Setup!$B$4,Ads_Raw!$A$2:$A$1000,"&lt;="&amp;Setup!$B$5),"")</f>
        <v/>
      </c>
      <c r="K28" s="22">
        <f>IFERROR(J28/F28,"")</f>
        <v/>
      </c>
      <c r="L28" s="21">
        <f>IFERROR(F28/I28,"")</f>
        <v/>
      </c>
      <c r="M28" s="24">
        <f>IF(C28="ROAS",IFERROR(MIN(K28/D28,1.5)*100,""),IFERROR(MIN(E28/L28,1.5)*100,""))</f>
        <v/>
      </c>
      <c r="N28">
        <f>IFERROR(F28*M28,"")</f>
        <v/>
      </c>
    </row>
    <row r="29">
      <c r="A29">
        <f>IF(Staff_Client_Targets!A29&lt;&gt;"",Staff_Client_Targets!A29,"")</f>
        <v/>
      </c>
      <c r="B29">
        <f>IF(A29&lt;&gt;"",Staff_Client_Targets!B29,"")</f>
        <v/>
      </c>
      <c r="C29">
        <f>IF(A29&lt;&gt;"",Staff_Client_Targets!C29,"")</f>
        <v/>
      </c>
      <c r="D29">
        <f>IF(A29&lt;&gt;"",Staff_Client_Targets!D29,"")</f>
        <v/>
      </c>
      <c r="E29">
        <f>IF(A29&lt;&gt;"",Staff_Client_Targets!E29,"")</f>
        <v/>
      </c>
      <c r="F29" s="19">
        <f>IFERROR(SUMIFS(Ads_Raw!G:G,Ads_Raw!$L$2:$L$1000,$A29,Ads_Raw!$B$2:$B$1000,$B29,Ads_Raw!$A$2:$A$1000,"&gt;="&amp;Setup!$B$4,Ads_Raw!$A$2:$A$1000,"&lt;="&amp;Setup!$B$5),"")</f>
        <v/>
      </c>
      <c r="G29">
        <f>IFERROR(SUMIFS(Ads_Raw!H:H,Ads_Raw!$L$2:$L$1000,$A29,Ads_Raw!$B$2:$B$1000,$B29,Ads_Raw!$A$2:$A$1000,"&gt;="&amp;Setup!$B$4,Ads_Raw!$A$2:$A$1000,"&lt;="&amp;Setup!$B$5),"")</f>
        <v/>
      </c>
      <c r="H29">
        <f>IFERROR(SUMIFS(Ads_Raw!I:I,Ads_Raw!$L$2:$L$1000,$A29,Ads_Raw!$B$2:$B$1000,$B29,Ads_Raw!$A$2:$A$1000,"&gt;="&amp;Setup!$B$4,Ads_Raw!$A$2:$A$1000,"&lt;="&amp;Setup!$B$5),"")</f>
        <v/>
      </c>
      <c r="I29">
        <f>IFERROR(SUMIFS(Ads_Raw!J:J,Ads_Raw!$L$2:$L$1000,$A29,Ads_Raw!$B$2:$B$1000,$B29,Ads_Raw!$A$2:$A$1000,"&gt;="&amp;Setup!$B$4,Ads_Raw!$A$2:$A$1000,"&lt;="&amp;Setup!$B$5),"")</f>
        <v/>
      </c>
      <c r="J29" s="19">
        <f>IFERROR(SUMIFS(Ads_Raw!K:K,Ads_Raw!$L$2:$L$1000,$A29,Ads_Raw!$B$2:$B$1000,$B29,Ads_Raw!$A$2:$A$1000,"&gt;="&amp;Setup!$B$4,Ads_Raw!$A$2:$A$1000,"&lt;="&amp;Setup!$B$5),"")</f>
        <v/>
      </c>
      <c r="K29" s="22">
        <f>IFERROR(J29/F29,"")</f>
        <v/>
      </c>
      <c r="L29" s="21">
        <f>IFERROR(F29/I29,"")</f>
        <v/>
      </c>
      <c r="M29" s="24">
        <f>IF(C29="ROAS",IFERROR(MIN(K29/D29,1.5)*100,""),IFERROR(MIN(E29/L29,1.5)*100,""))</f>
        <v/>
      </c>
      <c r="N29">
        <f>IFERROR(F29*M29,"")</f>
        <v/>
      </c>
    </row>
    <row r="30">
      <c r="A30">
        <f>IF(Staff_Client_Targets!A30&lt;&gt;"",Staff_Client_Targets!A30,"")</f>
        <v/>
      </c>
      <c r="B30">
        <f>IF(A30&lt;&gt;"",Staff_Client_Targets!B30,"")</f>
        <v/>
      </c>
      <c r="C30">
        <f>IF(A30&lt;&gt;"",Staff_Client_Targets!C30,"")</f>
        <v/>
      </c>
      <c r="D30">
        <f>IF(A30&lt;&gt;"",Staff_Client_Targets!D30,"")</f>
        <v/>
      </c>
      <c r="E30">
        <f>IF(A30&lt;&gt;"",Staff_Client_Targets!E30,"")</f>
        <v/>
      </c>
      <c r="F30" s="19">
        <f>IFERROR(SUMIFS(Ads_Raw!G:G,Ads_Raw!$L$2:$L$1000,$A30,Ads_Raw!$B$2:$B$1000,$B30,Ads_Raw!$A$2:$A$1000,"&gt;="&amp;Setup!$B$4,Ads_Raw!$A$2:$A$1000,"&lt;="&amp;Setup!$B$5),"")</f>
        <v/>
      </c>
      <c r="G30">
        <f>IFERROR(SUMIFS(Ads_Raw!H:H,Ads_Raw!$L$2:$L$1000,$A30,Ads_Raw!$B$2:$B$1000,$B30,Ads_Raw!$A$2:$A$1000,"&gt;="&amp;Setup!$B$4,Ads_Raw!$A$2:$A$1000,"&lt;="&amp;Setup!$B$5),"")</f>
        <v/>
      </c>
      <c r="H30">
        <f>IFERROR(SUMIFS(Ads_Raw!I:I,Ads_Raw!$L$2:$L$1000,$A30,Ads_Raw!$B$2:$B$1000,$B30,Ads_Raw!$A$2:$A$1000,"&gt;="&amp;Setup!$B$4,Ads_Raw!$A$2:$A$1000,"&lt;="&amp;Setup!$B$5),"")</f>
        <v/>
      </c>
      <c r="I30">
        <f>IFERROR(SUMIFS(Ads_Raw!J:J,Ads_Raw!$L$2:$L$1000,$A30,Ads_Raw!$B$2:$B$1000,$B30,Ads_Raw!$A$2:$A$1000,"&gt;="&amp;Setup!$B$4,Ads_Raw!$A$2:$A$1000,"&lt;="&amp;Setup!$B$5),"")</f>
        <v/>
      </c>
      <c r="J30" s="19">
        <f>IFERROR(SUMIFS(Ads_Raw!K:K,Ads_Raw!$L$2:$L$1000,$A30,Ads_Raw!$B$2:$B$1000,$B30,Ads_Raw!$A$2:$A$1000,"&gt;="&amp;Setup!$B$4,Ads_Raw!$A$2:$A$1000,"&lt;="&amp;Setup!$B$5),"")</f>
        <v/>
      </c>
      <c r="K30" s="22">
        <f>IFERROR(J30/F30,"")</f>
        <v/>
      </c>
      <c r="L30" s="21">
        <f>IFERROR(F30/I30,"")</f>
        <v/>
      </c>
      <c r="M30" s="24">
        <f>IF(C30="ROAS",IFERROR(MIN(K30/D30,1.5)*100,""),IFERROR(MIN(E30/L30,1.5)*100,""))</f>
        <v/>
      </c>
      <c r="N30">
        <f>IFERROR(F30*M30,"")</f>
        <v/>
      </c>
    </row>
    <row r="31">
      <c r="A31">
        <f>IF(Staff_Client_Targets!A31&lt;&gt;"",Staff_Client_Targets!A31,"")</f>
        <v/>
      </c>
      <c r="B31">
        <f>IF(A31&lt;&gt;"",Staff_Client_Targets!B31,"")</f>
        <v/>
      </c>
      <c r="C31">
        <f>IF(A31&lt;&gt;"",Staff_Client_Targets!C31,"")</f>
        <v/>
      </c>
      <c r="D31">
        <f>IF(A31&lt;&gt;"",Staff_Client_Targets!D31,"")</f>
        <v/>
      </c>
      <c r="E31">
        <f>IF(A31&lt;&gt;"",Staff_Client_Targets!E31,"")</f>
        <v/>
      </c>
      <c r="F31" s="19">
        <f>IFERROR(SUMIFS(Ads_Raw!G:G,Ads_Raw!$L$2:$L$1000,$A31,Ads_Raw!$B$2:$B$1000,$B31,Ads_Raw!$A$2:$A$1000,"&gt;="&amp;Setup!$B$4,Ads_Raw!$A$2:$A$1000,"&lt;="&amp;Setup!$B$5),"")</f>
        <v/>
      </c>
      <c r="G31">
        <f>IFERROR(SUMIFS(Ads_Raw!H:H,Ads_Raw!$L$2:$L$1000,$A31,Ads_Raw!$B$2:$B$1000,$B31,Ads_Raw!$A$2:$A$1000,"&gt;="&amp;Setup!$B$4,Ads_Raw!$A$2:$A$1000,"&lt;="&amp;Setup!$B$5),"")</f>
        <v/>
      </c>
      <c r="H31">
        <f>IFERROR(SUMIFS(Ads_Raw!I:I,Ads_Raw!$L$2:$L$1000,$A31,Ads_Raw!$B$2:$B$1000,$B31,Ads_Raw!$A$2:$A$1000,"&gt;="&amp;Setup!$B$4,Ads_Raw!$A$2:$A$1000,"&lt;="&amp;Setup!$B$5),"")</f>
        <v/>
      </c>
      <c r="I31">
        <f>IFERROR(SUMIFS(Ads_Raw!J:J,Ads_Raw!$L$2:$L$1000,$A31,Ads_Raw!$B$2:$B$1000,$B31,Ads_Raw!$A$2:$A$1000,"&gt;="&amp;Setup!$B$4,Ads_Raw!$A$2:$A$1000,"&lt;="&amp;Setup!$B$5),"")</f>
        <v/>
      </c>
      <c r="J31" s="19">
        <f>IFERROR(SUMIFS(Ads_Raw!K:K,Ads_Raw!$L$2:$L$1000,$A31,Ads_Raw!$B$2:$B$1000,$B31,Ads_Raw!$A$2:$A$1000,"&gt;="&amp;Setup!$B$4,Ads_Raw!$A$2:$A$1000,"&lt;="&amp;Setup!$B$5),"")</f>
        <v/>
      </c>
      <c r="K31" s="22">
        <f>IFERROR(J31/F31,"")</f>
        <v/>
      </c>
      <c r="L31" s="21">
        <f>IFERROR(F31/I31,"")</f>
        <v/>
      </c>
      <c r="M31" s="24">
        <f>IF(C31="ROAS",IFERROR(MIN(K31/D31,1.5)*100,""),IFERROR(MIN(E31/L31,1.5)*100,""))</f>
        <v/>
      </c>
      <c r="N31">
        <f>IFERROR(F31*M31,"")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 ht="28" customHeight="1">
      <c r="A1" s="9" t="inlineStr">
        <is>
          <t>Staff_ID</t>
        </is>
      </c>
      <c r="B1" s="9" t="inlineStr">
        <is>
          <t>Name</t>
        </is>
      </c>
      <c r="C1" s="9" t="inlineStr">
        <is>
          <t>Skill_Index_100</t>
        </is>
      </c>
      <c r="D1" s="9" t="inlineStr">
        <is>
          <t>Performance_Index_100</t>
        </is>
      </c>
      <c r="E1" s="9" t="inlineStr">
        <is>
          <t>Overall_KPI_Score</t>
        </is>
      </c>
      <c r="F1" s="9" t="inlineStr">
        <is>
          <t>Spend</t>
        </is>
      </c>
      <c r="G1" s="9" t="inlineStr">
        <is>
          <t>Conversions</t>
        </is>
      </c>
      <c r="H1" s="9" t="inlineStr">
        <is>
          <t>ROAS</t>
        </is>
      </c>
      <c r="I1" s="9" t="inlineStr">
        <is>
          <t>CPA</t>
        </is>
      </c>
    </row>
    <row r="2">
      <c r="A2" s="3">
        <f>Skill_Summary!A2</f>
        <v/>
      </c>
      <c r="B2" s="3">
        <f>Skill_Summary!B2</f>
        <v/>
      </c>
      <c r="C2" s="23">
        <f>Skill_Summary!K2</f>
        <v/>
      </c>
      <c r="D2" s="23">
        <f>IFERROR(SUMIFS(Performance_By_Client!$N$2:$N$2000,Performance_By_Client!$A$2:$A$2000,$A2)/SUMIFS(Performance_By_Client!$F$2:$F$2000,Performance_By_Client!$A$2:$A$2000,$A2),"")</f>
        <v/>
      </c>
      <c r="E2" s="23">
        <f>IF($A2="","",Setup!$B$8*C2+Setup!$B$9*D2)</f>
        <v/>
      </c>
      <c r="F2" s="15">
        <f>IFERROR(SUMIFS(Performance_By_Client!$F$2:$F$2000,Performance_By_Client!$A$2:$A$2000,$A2),"")</f>
        <v/>
      </c>
      <c r="G2" s="3">
        <f>IFERROR(SUMIFS(Performance_By_Client!$I$2:$I$2000,Performance_By_Client!$A$2:$A$2000,$A2),"")</f>
        <v/>
      </c>
      <c r="H2" s="18">
        <f>IFERROR(SUMIFS(Performance_By_Client!$J$2:$J$2000,Performance_By_Client!$A$2:$A$2000,$A2)/F2,"")</f>
        <v/>
      </c>
      <c r="I2" s="17">
        <f>IFERROR(F2/G2,"")</f>
        <v/>
      </c>
    </row>
    <row r="3">
      <c r="A3" s="3">
        <f>Skill_Summary!A3</f>
        <v/>
      </c>
      <c r="B3" s="3">
        <f>Skill_Summary!B3</f>
        <v/>
      </c>
      <c r="C3" s="23">
        <f>Skill_Summary!K3</f>
        <v/>
      </c>
      <c r="D3" s="23">
        <f>IFERROR(SUMIFS(Performance_By_Client!$N$2:$N$2000,Performance_By_Client!$A$2:$A$2000,$A3)/SUMIFS(Performance_By_Client!$F$2:$F$2000,Performance_By_Client!$A$2:$A$2000,$A3),"")</f>
        <v/>
      </c>
      <c r="E3" s="23">
        <f>IF($A3="","",Setup!$B$8*C3+Setup!$B$9*D3)</f>
        <v/>
      </c>
      <c r="F3" s="15">
        <f>IFERROR(SUMIFS(Performance_By_Client!$F$2:$F$2000,Performance_By_Client!$A$2:$A$2000,$A3),"")</f>
        <v/>
      </c>
      <c r="G3" s="3">
        <f>IFERROR(SUMIFS(Performance_By_Client!$I$2:$I$2000,Performance_By_Client!$A$2:$A$2000,$A3),"")</f>
        <v/>
      </c>
      <c r="H3" s="18">
        <f>IFERROR(SUMIFS(Performance_By_Client!$J$2:$J$2000,Performance_By_Client!$A$2:$A$2000,$A3)/F3,"")</f>
        <v/>
      </c>
      <c r="I3" s="17">
        <f>IFERROR(F3/G3,"")</f>
        <v/>
      </c>
    </row>
    <row r="4">
      <c r="A4" s="3">
        <f>Skill_Summary!A4</f>
        <v/>
      </c>
      <c r="B4" s="3">
        <f>Skill_Summary!B4</f>
        <v/>
      </c>
      <c r="C4" s="23">
        <f>Skill_Summary!K4</f>
        <v/>
      </c>
      <c r="D4" s="23">
        <f>IFERROR(SUMIFS(Performance_By_Client!$N$2:$N$2000,Performance_By_Client!$A$2:$A$2000,$A4)/SUMIFS(Performance_By_Client!$F$2:$F$2000,Performance_By_Client!$A$2:$A$2000,$A4),"")</f>
        <v/>
      </c>
      <c r="E4" s="23">
        <f>IF($A4="","",Setup!$B$8*C4+Setup!$B$9*D4)</f>
        <v/>
      </c>
      <c r="F4" s="15">
        <f>IFERROR(SUMIFS(Performance_By_Client!$F$2:$F$2000,Performance_By_Client!$A$2:$A$2000,$A4),"")</f>
        <v/>
      </c>
      <c r="G4" s="3">
        <f>IFERROR(SUMIFS(Performance_By_Client!$I$2:$I$2000,Performance_By_Client!$A$2:$A$2000,$A4),"")</f>
        <v/>
      </c>
      <c r="H4" s="18">
        <f>IFERROR(SUMIFS(Performance_By_Client!$J$2:$J$2000,Performance_By_Client!$A$2:$A$2000,$A4)/F4,"")</f>
        <v/>
      </c>
      <c r="I4" s="17">
        <f>IFERROR(F4/G4,"")</f>
        <v/>
      </c>
    </row>
    <row r="5">
      <c r="A5" s="3">
        <f>Skill_Summary!A5</f>
        <v/>
      </c>
      <c r="B5" s="3">
        <f>Skill_Summary!B5</f>
        <v/>
      </c>
      <c r="C5" s="23">
        <f>Skill_Summary!K5</f>
        <v/>
      </c>
      <c r="D5" s="23">
        <f>IFERROR(SUMIFS(Performance_By_Client!$N$2:$N$2000,Performance_By_Client!$A$2:$A$2000,$A5)/SUMIFS(Performance_By_Client!$F$2:$F$2000,Performance_By_Client!$A$2:$A$2000,$A5),"")</f>
        <v/>
      </c>
      <c r="E5" s="23">
        <f>IF($A5="","",Setup!$B$8*C5+Setup!$B$9*D5)</f>
        <v/>
      </c>
      <c r="F5" s="15">
        <f>IFERROR(SUMIFS(Performance_By_Client!$F$2:$F$2000,Performance_By_Client!$A$2:$A$2000,$A5),"")</f>
        <v/>
      </c>
      <c r="G5" s="3">
        <f>IFERROR(SUMIFS(Performance_By_Client!$I$2:$I$2000,Performance_By_Client!$A$2:$A$2000,$A5),"")</f>
        <v/>
      </c>
      <c r="H5" s="18">
        <f>IFERROR(SUMIFS(Performance_By_Client!$J$2:$J$2000,Performance_By_Client!$A$2:$A$2000,$A5)/F5,"")</f>
        <v/>
      </c>
      <c r="I5" s="17">
        <f>IFERROR(F5/G5,"")</f>
        <v/>
      </c>
    </row>
    <row r="6">
      <c r="A6" s="3">
        <f>Skill_Summary!A6</f>
        <v/>
      </c>
      <c r="B6" s="3">
        <f>Skill_Summary!B6</f>
        <v/>
      </c>
      <c r="C6" s="23">
        <f>Skill_Summary!K6</f>
        <v/>
      </c>
      <c r="D6" s="23">
        <f>IFERROR(SUMIFS(Performance_By_Client!$N$2:$N$2000,Performance_By_Client!$A$2:$A$2000,$A6)/SUMIFS(Performance_By_Client!$F$2:$F$2000,Performance_By_Client!$A$2:$A$2000,$A6),"")</f>
        <v/>
      </c>
      <c r="E6" s="23">
        <f>IF($A6="","",Setup!$B$8*C6+Setup!$B$9*D6)</f>
        <v/>
      </c>
      <c r="F6" s="15">
        <f>IFERROR(SUMIFS(Performance_By_Client!$F$2:$F$2000,Performance_By_Client!$A$2:$A$2000,$A6),"")</f>
        <v/>
      </c>
      <c r="G6" s="3">
        <f>IFERROR(SUMIFS(Performance_By_Client!$I$2:$I$2000,Performance_By_Client!$A$2:$A$2000,$A6),"")</f>
        <v/>
      </c>
      <c r="H6" s="18">
        <f>IFERROR(SUMIFS(Performance_By_Client!$J$2:$J$2000,Performance_By_Client!$A$2:$A$2000,$A6)/F6,"")</f>
        <v/>
      </c>
      <c r="I6" s="17">
        <f>IFERROR(F6/G6,"")</f>
        <v/>
      </c>
    </row>
    <row r="7">
      <c r="A7" s="3">
        <f>Skill_Summary!A7</f>
        <v/>
      </c>
      <c r="B7" s="3">
        <f>Skill_Summary!B7</f>
        <v/>
      </c>
      <c r="C7" s="23">
        <f>Skill_Summary!K7</f>
        <v/>
      </c>
      <c r="D7" s="23">
        <f>IFERROR(SUMIFS(Performance_By_Client!$N$2:$N$2000,Performance_By_Client!$A$2:$A$2000,$A7)/SUMIFS(Performance_By_Client!$F$2:$F$2000,Performance_By_Client!$A$2:$A$2000,$A7),"")</f>
        <v/>
      </c>
      <c r="E7" s="23">
        <f>IF($A7="","",Setup!$B$8*C7+Setup!$B$9*D7)</f>
        <v/>
      </c>
      <c r="F7" s="15">
        <f>IFERROR(SUMIFS(Performance_By_Client!$F$2:$F$2000,Performance_By_Client!$A$2:$A$2000,$A7),"")</f>
        <v/>
      </c>
      <c r="G7" s="3">
        <f>IFERROR(SUMIFS(Performance_By_Client!$I$2:$I$2000,Performance_By_Client!$A$2:$A$2000,$A7),"")</f>
        <v/>
      </c>
      <c r="H7" s="18">
        <f>IFERROR(SUMIFS(Performance_By_Client!$J$2:$J$2000,Performance_By_Client!$A$2:$A$2000,$A7)/F7,"")</f>
        <v/>
      </c>
      <c r="I7" s="17">
        <f>IFERROR(F7/G7,"")</f>
        <v/>
      </c>
    </row>
    <row r="8">
      <c r="A8" s="3">
        <f>Skill_Summary!A8</f>
        <v/>
      </c>
      <c r="B8" s="3">
        <f>Skill_Summary!B8</f>
        <v/>
      </c>
      <c r="C8" s="23">
        <f>Skill_Summary!K8</f>
        <v/>
      </c>
      <c r="D8" s="23">
        <f>IFERROR(SUMIFS(Performance_By_Client!$N$2:$N$2000,Performance_By_Client!$A$2:$A$2000,$A8)/SUMIFS(Performance_By_Client!$F$2:$F$2000,Performance_By_Client!$A$2:$A$2000,$A8),"")</f>
        <v/>
      </c>
      <c r="E8" s="23">
        <f>IF($A8="","",Setup!$B$8*C8+Setup!$B$9*D8)</f>
        <v/>
      </c>
      <c r="F8" s="15">
        <f>IFERROR(SUMIFS(Performance_By_Client!$F$2:$F$2000,Performance_By_Client!$A$2:$A$2000,$A8),"")</f>
        <v/>
      </c>
      <c r="G8" s="3">
        <f>IFERROR(SUMIFS(Performance_By_Client!$I$2:$I$2000,Performance_By_Client!$A$2:$A$2000,$A8),"")</f>
        <v/>
      </c>
      <c r="H8" s="18">
        <f>IFERROR(SUMIFS(Performance_By_Client!$J$2:$J$2000,Performance_By_Client!$A$2:$A$2000,$A8)/F8,"")</f>
        <v/>
      </c>
      <c r="I8" s="17">
        <f>IFERROR(F8/G8,"")</f>
        <v/>
      </c>
    </row>
    <row r="9">
      <c r="A9" s="3">
        <f>Skill_Summary!A9</f>
        <v/>
      </c>
      <c r="B9" s="3">
        <f>Skill_Summary!B9</f>
        <v/>
      </c>
      <c r="C9" s="23">
        <f>Skill_Summary!K9</f>
        <v/>
      </c>
      <c r="D9" s="23">
        <f>IFERROR(SUMIFS(Performance_By_Client!$N$2:$N$2000,Performance_By_Client!$A$2:$A$2000,$A9)/SUMIFS(Performance_By_Client!$F$2:$F$2000,Performance_By_Client!$A$2:$A$2000,$A9),"")</f>
        <v/>
      </c>
      <c r="E9" s="23">
        <f>IF($A9="","",Setup!$B$8*C9+Setup!$B$9*D9)</f>
        <v/>
      </c>
      <c r="F9" s="15">
        <f>IFERROR(SUMIFS(Performance_By_Client!$F$2:$F$2000,Performance_By_Client!$A$2:$A$2000,$A9),"")</f>
        <v/>
      </c>
      <c r="G9" s="3">
        <f>IFERROR(SUMIFS(Performance_By_Client!$I$2:$I$2000,Performance_By_Client!$A$2:$A$2000,$A9),"")</f>
        <v/>
      </c>
      <c r="H9" s="18">
        <f>IFERROR(SUMIFS(Performance_By_Client!$J$2:$J$2000,Performance_By_Client!$A$2:$A$2000,$A9)/F9,"")</f>
        <v/>
      </c>
      <c r="I9" s="17">
        <f>IFERROR(F9/G9,"")</f>
        <v/>
      </c>
    </row>
    <row r="10">
      <c r="A10" s="3">
        <f>Skill_Summary!A10</f>
        <v/>
      </c>
      <c r="B10" s="3">
        <f>Skill_Summary!B10</f>
        <v/>
      </c>
      <c r="C10" s="23">
        <f>Skill_Summary!K10</f>
        <v/>
      </c>
      <c r="D10" s="23">
        <f>IFERROR(SUMIFS(Performance_By_Client!$N$2:$N$2000,Performance_By_Client!$A$2:$A$2000,$A10)/SUMIFS(Performance_By_Client!$F$2:$F$2000,Performance_By_Client!$A$2:$A$2000,$A10),"")</f>
        <v/>
      </c>
      <c r="E10" s="23">
        <f>IF($A10="","",Setup!$B$8*C10+Setup!$B$9*D10)</f>
        <v/>
      </c>
      <c r="F10" s="15">
        <f>IFERROR(SUMIFS(Performance_By_Client!$F$2:$F$2000,Performance_By_Client!$A$2:$A$2000,$A10),"")</f>
        <v/>
      </c>
      <c r="G10" s="3">
        <f>IFERROR(SUMIFS(Performance_By_Client!$I$2:$I$2000,Performance_By_Client!$A$2:$A$2000,$A10),"")</f>
        <v/>
      </c>
      <c r="H10" s="18">
        <f>IFERROR(SUMIFS(Performance_By_Client!$J$2:$J$2000,Performance_By_Client!$A$2:$A$2000,$A10)/F10,"")</f>
        <v/>
      </c>
      <c r="I10" s="17">
        <f>IFERROR(F10/G10,"")</f>
        <v/>
      </c>
    </row>
    <row r="11">
      <c r="A11" s="3">
        <f>Skill_Summary!A11</f>
        <v/>
      </c>
      <c r="B11" s="3">
        <f>Skill_Summary!B11</f>
        <v/>
      </c>
      <c r="C11" s="23">
        <f>Skill_Summary!K11</f>
        <v/>
      </c>
      <c r="D11" s="23">
        <f>IFERROR(SUMIFS(Performance_By_Client!$N$2:$N$2000,Performance_By_Client!$A$2:$A$2000,$A11)/SUMIFS(Performance_By_Client!$F$2:$F$2000,Performance_By_Client!$A$2:$A$2000,$A11),"")</f>
        <v/>
      </c>
      <c r="E11" s="23">
        <f>IF($A11="","",Setup!$B$8*C11+Setup!$B$9*D11)</f>
        <v/>
      </c>
      <c r="F11" s="15">
        <f>IFERROR(SUMIFS(Performance_By_Client!$F$2:$F$2000,Performance_By_Client!$A$2:$A$2000,$A11),"")</f>
        <v/>
      </c>
      <c r="G11" s="3">
        <f>IFERROR(SUMIFS(Performance_By_Client!$I$2:$I$2000,Performance_By_Client!$A$2:$A$2000,$A11),"")</f>
        <v/>
      </c>
      <c r="H11" s="18">
        <f>IFERROR(SUMIFS(Performance_By_Client!$J$2:$J$2000,Performance_By_Client!$A$2:$A$2000,$A11)/F11,"")</f>
        <v/>
      </c>
      <c r="I11" s="17">
        <f>IFERROR(F11/G11,"")</f>
        <v/>
      </c>
    </row>
    <row r="12">
      <c r="A12" s="3">
        <f>Skill_Summary!A12</f>
        <v/>
      </c>
      <c r="B12" s="3">
        <f>Skill_Summary!B12</f>
        <v/>
      </c>
      <c r="C12" s="23">
        <f>Skill_Summary!K12</f>
        <v/>
      </c>
      <c r="D12" s="23">
        <f>IFERROR(SUMIFS(Performance_By_Client!$N$2:$N$2000,Performance_By_Client!$A$2:$A$2000,$A12)/SUMIFS(Performance_By_Client!$F$2:$F$2000,Performance_By_Client!$A$2:$A$2000,$A12),"")</f>
        <v/>
      </c>
      <c r="E12" s="23">
        <f>IF($A12="","",Setup!$B$8*C12+Setup!$B$9*D12)</f>
        <v/>
      </c>
      <c r="F12" s="15">
        <f>IFERROR(SUMIFS(Performance_By_Client!$F$2:$F$2000,Performance_By_Client!$A$2:$A$2000,$A12),"")</f>
        <v/>
      </c>
      <c r="G12" s="3">
        <f>IFERROR(SUMIFS(Performance_By_Client!$I$2:$I$2000,Performance_By_Client!$A$2:$A$2000,$A12),"")</f>
        <v/>
      </c>
      <c r="H12" s="18">
        <f>IFERROR(SUMIFS(Performance_By_Client!$J$2:$J$2000,Performance_By_Client!$A$2:$A$2000,$A12)/F12,"")</f>
        <v/>
      </c>
      <c r="I12" s="17">
        <f>IFERROR(F12/G12,"")</f>
        <v/>
      </c>
    </row>
    <row r="13">
      <c r="A13" s="3">
        <f>Skill_Summary!A13</f>
        <v/>
      </c>
      <c r="B13" s="3">
        <f>Skill_Summary!B13</f>
        <v/>
      </c>
      <c r="C13" s="23">
        <f>Skill_Summary!K13</f>
        <v/>
      </c>
      <c r="D13" s="23">
        <f>IFERROR(SUMIFS(Performance_By_Client!$N$2:$N$2000,Performance_By_Client!$A$2:$A$2000,$A13)/SUMIFS(Performance_By_Client!$F$2:$F$2000,Performance_By_Client!$A$2:$A$2000,$A13),"")</f>
        <v/>
      </c>
      <c r="E13" s="23">
        <f>IF($A13="","",Setup!$B$8*C13+Setup!$B$9*D13)</f>
        <v/>
      </c>
      <c r="F13" s="15">
        <f>IFERROR(SUMIFS(Performance_By_Client!$F$2:$F$2000,Performance_By_Client!$A$2:$A$2000,$A13),"")</f>
        <v/>
      </c>
      <c r="G13" s="3">
        <f>IFERROR(SUMIFS(Performance_By_Client!$I$2:$I$2000,Performance_By_Client!$A$2:$A$2000,$A13),"")</f>
        <v/>
      </c>
      <c r="H13" s="18">
        <f>IFERROR(SUMIFS(Performance_By_Client!$J$2:$J$2000,Performance_By_Client!$A$2:$A$2000,$A13)/F13,"")</f>
        <v/>
      </c>
      <c r="I13" s="17">
        <f>IFERROR(F13/G13,"")</f>
        <v/>
      </c>
    </row>
    <row r="14">
      <c r="A14" s="3">
        <f>Skill_Summary!A14</f>
        <v/>
      </c>
      <c r="B14" s="3">
        <f>Skill_Summary!B14</f>
        <v/>
      </c>
      <c r="C14" s="23">
        <f>Skill_Summary!K14</f>
        <v/>
      </c>
      <c r="D14" s="23">
        <f>IFERROR(SUMIFS(Performance_By_Client!$N$2:$N$2000,Performance_By_Client!$A$2:$A$2000,$A14)/SUMIFS(Performance_By_Client!$F$2:$F$2000,Performance_By_Client!$A$2:$A$2000,$A14),"")</f>
        <v/>
      </c>
      <c r="E14" s="23">
        <f>IF($A14="","",Setup!$B$8*C14+Setup!$B$9*D14)</f>
        <v/>
      </c>
      <c r="F14" s="15">
        <f>IFERROR(SUMIFS(Performance_By_Client!$F$2:$F$2000,Performance_By_Client!$A$2:$A$2000,$A14),"")</f>
        <v/>
      </c>
      <c r="G14" s="3">
        <f>IFERROR(SUMIFS(Performance_By_Client!$I$2:$I$2000,Performance_By_Client!$A$2:$A$2000,$A14),"")</f>
        <v/>
      </c>
      <c r="H14" s="18">
        <f>IFERROR(SUMIFS(Performance_By_Client!$J$2:$J$2000,Performance_By_Client!$A$2:$A$2000,$A14)/F14,"")</f>
        <v/>
      </c>
      <c r="I14" s="17">
        <f>IFERROR(F14/G14,"")</f>
        <v/>
      </c>
    </row>
    <row r="15">
      <c r="A15" s="3">
        <f>Skill_Summary!A15</f>
        <v/>
      </c>
      <c r="B15" s="3">
        <f>Skill_Summary!B15</f>
        <v/>
      </c>
      <c r="C15" s="23">
        <f>Skill_Summary!K15</f>
        <v/>
      </c>
      <c r="D15" s="23">
        <f>IFERROR(SUMIFS(Performance_By_Client!$N$2:$N$2000,Performance_By_Client!$A$2:$A$2000,$A15)/SUMIFS(Performance_By_Client!$F$2:$F$2000,Performance_By_Client!$A$2:$A$2000,$A15),"")</f>
        <v/>
      </c>
      <c r="E15" s="23">
        <f>IF($A15="","",Setup!$B$8*C15+Setup!$B$9*D15)</f>
        <v/>
      </c>
      <c r="F15" s="15">
        <f>IFERROR(SUMIFS(Performance_By_Client!$F$2:$F$2000,Performance_By_Client!$A$2:$A$2000,$A15),"")</f>
        <v/>
      </c>
      <c r="G15" s="3">
        <f>IFERROR(SUMIFS(Performance_By_Client!$I$2:$I$2000,Performance_By_Client!$A$2:$A$2000,$A15),"")</f>
        <v/>
      </c>
      <c r="H15" s="18">
        <f>IFERROR(SUMIFS(Performance_By_Client!$J$2:$J$2000,Performance_By_Client!$A$2:$A$2000,$A15)/F15,"")</f>
        <v/>
      </c>
      <c r="I15" s="17">
        <f>IFERROR(F15/G15,"")</f>
        <v/>
      </c>
    </row>
    <row r="16">
      <c r="A16" s="3">
        <f>Skill_Summary!A16</f>
        <v/>
      </c>
      <c r="B16" s="3">
        <f>Skill_Summary!B16</f>
        <v/>
      </c>
      <c r="C16" s="23">
        <f>Skill_Summary!K16</f>
        <v/>
      </c>
      <c r="D16" s="23">
        <f>IFERROR(SUMIFS(Performance_By_Client!$N$2:$N$2000,Performance_By_Client!$A$2:$A$2000,$A16)/SUMIFS(Performance_By_Client!$F$2:$F$2000,Performance_By_Client!$A$2:$A$2000,$A16),"")</f>
        <v/>
      </c>
      <c r="E16" s="23">
        <f>IF($A16="","",Setup!$B$8*C16+Setup!$B$9*D16)</f>
        <v/>
      </c>
      <c r="F16" s="15">
        <f>IFERROR(SUMIFS(Performance_By_Client!$F$2:$F$2000,Performance_By_Client!$A$2:$A$2000,$A16),"")</f>
        <v/>
      </c>
      <c r="G16" s="3">
        <f>IFERROR(SUMIFS(Performance_By_Client!$I$2:$I$2000,Performance_By_Client!$A$2:$A$2000,$A16),"")</f>
        <v/>
      </c>
      <c r="H16" s="18">
        <f>IFERROR(SUMIFS(Performance_By_Client!$J$2:$J$2000,Performance_By_Client!$A$2:$A$2000,$A16)/F16,"")</f>
        <v/>
      </c>
      <c r="I16" s="17">
        <f>IFERROR(F16/G16,"")</f>
        <v/>
      </c>
    </row>
    <row r="17">
      <c r="A17" s="3">
        <f>Skill_Summary!A17</f>
        <v/>
      </c>
      <c r="B17" s="3">
        <f>Skill_Summary!B17</f>
        <v/>
      </c>
      <c r="C17" s="23">
        <f>Skill_Summary!K17</f>
        <v/>
      </c>
      <c r="D17" s="23">
        <f>IFERROR(SUMIFS(Performance_By_Client!$N$2:$N$2000,Performance_By_Client!$A$2:$A$2000,$A17)/SUMIFS(Performance_By_Client!$F$2:$F$2000,Performance_By_Client!$A$2:$A$2000,$A17),"")</f>
        <v/>
      </c>
      <c r="E17" s="23">
        <f>IF($A17="","",Setup!$B$8*C17+Setup!$B$9*D17)</f>
        <v/>
      </c>
      <c r="F17" s="15">
        <f>IFERROR(SUMIFS(Performance_By_Client!$F$2:$F$2000,Performance_By_Client!$A$2:$A$2000,$A17),"")</f>
        <v/>
      </c>
      <c r="G17" s="3">
        <f>IFERROR(SUMIFS(Performance_By_Client!$I$2:$I$2000,Performance_By_Client!$A$2:$A$2000,$A17),"")</f>
        <v/>
      </c>
      <c r="H17" s="18">
        <f>IFERROR(SUMIFS(Performance_By_Client!$J$2:$J$2000,Performance_By_Client!$A$2:$A$2000,$A17)/F17,"")</f>
        <v/>
      </c>
      <c r="I17" s="17">
        <f>IFERROR(F17/G17,"")</f>
        <v/>
      </c>
    </row>
    <row r="18">
      <c r="A18" s="3">
        <f>Skill_Summary!A18</f>
        <v/>
      </c>
      <c r="B18" s="3">
        <f>Skill_Summary!B18</f>
        <v/>
      </c>
      <c r="C18" s="23">
        <f>Skill_Summary!K18</f>
        <v/>
      </c>
      <c r="D18" s="23">
        <f>IFERROR(SUMIFS(Performance_By_Client!$N$2:$N$2000,Performance_By_Client!$A$2:$A$2000,$A18)/SUMIFS(Performance_By_Client!$F$2:$F$2000,Performance_By_Client!$A$2:$A$2000,$A18),"")</f>
        <v/>
      </c>
      <c r="E18" s="23">
        <f>IF($A18="","",Setup!$B$8*C18+Setup!$B$9*D18)</f>
        <v/>
      </c>
      <c r="F18" s="15">
        <f>IFERROR(SUMIFS(Performance_By_Client!$F$2:$F$2000,Performance_By_Client!$A$2:$A$2000,$A18),"")</f>
        <v/>
      </c>
      <c r="G18" s="3">
        <f>IFERROR(SUMIFS(Performance_By_Client!$I$2:$I$2000,Performance_By_Client!$A$2:$A$2000,$A18),"")</f>
        <v/>
      </c>
      <c r="H18" s="18">
        <f>IFERROR(SUMIFS(Performance_By_Client!$J$2:$J$2000,Performance_By_Client!$A$2:$A$2000,$A18)/F18,"")</f>
        <v/>
      </c>
      <c r="I18" s="17">
        <f>IFERROR(F18/G18,"")</f>
        <v/>
      </c>
    </row>
    <row r="19">
      <c r="A19" s="3">
        <f>Skill_Summary!A19</f>
        <v/>
      </c>
      <c r="B19" s="3">
        <f>Skill_Summary!B19</f>
        <v/>
      </c>
      <c r="C19" s="23">
        <f>Skill_Summary!K19</f>
        <v/>
      </c>
      <c r="D19" s="23">
        <f>IFERROR(SUMIFS(Performance_By_Client!$N$2:$N$2000,Performance_By_Client!$A$2:$A$2000,$A19)/SUMIFS(Performance_By_Client!$F$2:$F$2000,Performance_By_Client!$A$2:$A$2000,$A19),"")</f>
        <v/>
      </c>
      <c r="E19" s="23">
        <f>IF($A19="","",Setup!$B$8*C19+Setup!$B$9*D19)</f>
        <v/>
      </c>
      <c r="F19" s="15">
        <f>IFERROR(SUMIFS(Performance_By_Client!$F$2:$F$2000,Performance_By_Client!$A$2:$A$2000,$A19),"")</f>
        <v/>
      </c>
      <c r="G19" s="3">
        <f>IFERROR(SUMIFS(Performance_By_Client!$I$2:$I$2000,Performance_By_Client!$A$2:$A$2000,$A19),"")</f>
        <v/>
      </c>
      <c r="H19" s="18">
        <f>IFERROR(SUMIFS(Performance_By_Client!$J$2:$J$2000,Performance_By_Client!$A$2:$A$2000,$A19)/F19,"")</f>
        <v/>
      </c>
      <c r="I19" s="17">
        <f>IFERROR(F19/G19,"")</f>
        <v/>
      </c>
    </row>
    <row r="20">
      <c r="A20" s="3">
        <f>Skill_Summary!A20</f>
        <v/>
      </c>
      <c r="B20" s="3">
        <f>Skill_Summary!B20</f>
        <v/>
      </c>
      <c r="C20" s="23">
        <f>Skill_Summary!K20</f>
        <v/>
      </c>
      <c r="D20" s="23">
        <f>IFERROR(SUMIFS(Performance_By_Client!$N$2:$N$2000,Performance_By_Client!$A$2:$A$2000,$A20)/SUMIFS(Performance_By_Client!$F$2:$F$2000,Performance_By_Client!$A$2:$A$2000,$A20),"")</f>
        <v/>
      </c>
      <c r="E20" s="23">
        <f>IF($A20="","",Setup!$B$8*C20+Setup!$B$9*D20)</f>
        <v/>
      </c>
      <c r="F20" s="15">
        <f>IFERROR(SUMIFS(Performance_By_Client!$F$2:$F$2000,Performance_By_Client!$A$2:$A$2000,$A20),"")</f>
        <v/>
      </c>
      <c r="G20" s="3">
        <f>IFERROR(SUMIFS(Performance_By_Client!$I$2:$I$2000,Performance_By_Client!$A$2:$A$2000,$A20),"")</f>
        <v/>
      </c>
      <c r="H20" s="18">
        <f>IFERROR(SUMIFS(Performance_By_Client!$J$2:$J$2000,Performance_By_Client!$A$2:$A$2000,$A20)/F20,"")</f>
        <v/>
      </c>
      <c r="I20" s="17">
        <f>IFERROR(F20/G20,"")</f>
        <v/>
      </c>
    </row>
    <row r="21">
      <c r="A21">
        <f>Skill_Summary!A21</f>
        <v/>
      </c>
      <c r="B21">
        <f>Skill_Summary!B21</f>
        <v/>
      </c>
      <c r="C21" s="24">
        <f>Skill_Summary!K21</f>
        <v/>
      </c>
      <c r="D21" s="24">
        <f>IFERROR(SUMIFS(Performance_By_Client!$N$2:$N$2000,Performance_By_Client!$A$2:$A$2000,$A21)/SUMIFS(Performance_By_Client!$F$2:$F$2000,Performance_By_Client!$A$2:$A$2000,$A21),"")</f>
        <v/>
      </c>
      <c r="E21" s="24">
        <f>IF($A21="","",Setup!$B$8*C21+Setup!$B$9*D21)</f>
        <v/>
      </c>
      <c r="F21" s="19">
        <f>IFERROR(SUMIFS(Performance_By_Client!$F$2:$F$2000,Performance_By_Client!$A$2:$A$2000,$A21),"")</f>
        <v/>
      </c>
      <c r="G21">
        <f>IFERROR(SUMIFS(Performance_By_Client!$I$2:$I$2000,Performance_By_Client!$A$2:$A$2000,$A21),"")</f>
        <v/>
      </c>
      <c r="H21" s="22">
        <f>IFERROR(SUMIFS(Performance_By_Client!$J$2:$J$2000,Performance_By_Client!$A$2:$A$2000,$A21)/F21,"")</f>
        <v/>
      </c>
      <c r="I21" s="21">
        <f>IFERROR(F21/G21,"")</f>
        <v/>
      </c>
    </row>
    <row r="22">
      <c r="A22">
        <f>Skill_Summary!A22</f>
        <v/>
      </c>
      <c r="B22">
        <f>Skill_Summary!B22</f>
        <v/>
      </c>
      <c r="C22" s="24">
        <f>Skill_Summary!K22</f>
        <v/>
      </c>
      <c r="D22" s="24">
        <f>IFERROR(SUMIFS(Performance_By_Client!$N$2:$N$2000,Performance_By_Client!$A$2:$A$2000,$A22)/SUMIFS(Performance_By_Client!$F$2:$F$2000,Performance_By_Client!$A$2:$A$2000,$A22),"")</f>
        <v/>
      </c>
      <c r="E22" s="24">
        <f>IF($A22="","",Setup!$B$8*C22+Setup!$B$9*D22)</f>
        <v/>
      </c>
      <c r="F22" s="19">
        <f>IFERROR(SUMIFS(Performance_By_Client!$F$2:$F$2000,Performance_By_Client!$A$2:$A$2000,$A22),"")</f>
        <v/>
      </c>
      <c r="G22">
        <f>IFERROR(SUMIFS(Performance_By_Client!$I$2:$I$2000,Performance_By_Client!$A$2:$A$2000,$A22),"")</f>
        <v/>
      </c>
      <c r="H22" s="22">
        <f>IFERROR(SUMIFS(Performance_By_Client!$J$2:$J$2000,Performance_By_Client!$A$2:$A$2000,$A22)/F22,"")</f>
        <v/>
      </c>
      <c r="I22" s="21">
        <f>IFERROR(F22/G22,"")</f>
        <v/>
      </c>
    </row>
    <row r="23">
      <c r="A23">
        <f>Skill_Summary!A23</f>
        <v/>
      </c>
      <c r="B23">
        <f>Skill_Summary!B23</f>
        <v/>
      </c>
      <c r="C23" s="24">
        <f>Skill_Summary!K23</f>
        <v/>
      </c>
      <c r="D23" s="24">
        <f>IFERROR(SUMIFS(Performance_By_Client!$N$2:$N$2000,Performance_By_Client!$A$2:$A$2000,$A23)/SUMIFS(Performance_By_Client!$F$2:$F$2000,Performance_By_Client!$A$2:$A$2000,$A23),"")</f>
        <v/>
      </c>
      <c r="E23" s="24">
        <f>IF($A23="","",Setup!$B$8*C23+Setup!$B$9*D23)</f>
        <v/>
      </c>
      <c r="F23" s="19">
        <f>IFERROR(SUMIFS(Performance_By_Client!$F$2:$F$2000,Performance_By_Client!$A$2:$A$2000,$A23),"")</f>
        <v/>
      </c>
      <c r="G23">
        <f>IFERROR(SUMIFS(Performance_By_Client!$I$2:$I$2000,Performance_By_Client!$A$2:$A$2000,$A23),"")</f>
        <v/>
      </c>
      <c r="H23" s="22">
        <f>IFERROR(SUMIFS(Performance_By_Client!$J$2:$J$2000,Performance_By_Client!$A$2:$A$2000,$A23)/F23,"")</f>
        <v/>
      </c>
      <c r="I23" s="21">
        <f>IFERROR(F23/G23,"")</f>
        <v/>
      </c>
    </row>
    <row r="24">
      <c r="A24">
        <f>Skill_Summary!A24</f>
        <v/>
      </c>
      <c r="B24">
        <f>Skill_Summary!B24</f>
        <v/>
      </c>
      <c r="C24" s="24">
        <f>Skill_Summary!K24</f>
        <v/>
      </c>
      <c r="D24" s="24">
        <f>IFERROR(SUMIFS(Performance_By_Client!$N$2:$N$2000,Performance_By_Client!$A$2:$A$2000,$A24)/SUMIFS(Performance_By_Client!$F$2:$F$2000,Performance_By_Client!$A$2:$A$2000,$A24),"")</f>
        <v/>
      </c>
      <c r="E24" s="24">
        <f>IF($A24="","",Setup!$B$8*C24+Setup!$B$9*D24)</f>
        <v/>
      </c>
      <c r="F24" s="19">
        <f>IFERROR(SUMIFS(Performance_By_Client!$F$2:$F$2000,Performance_By_Client!$A$2:$A$2000,$A24),"")</f>
        <v/>
      </c>
      <c r="G24">
        <f>IFERROR(SUMIFS(Performance_By_Client!$I$2:$I$2000,Performance_By_Client!$A$2:$A$2000,$A24),"")</f>
        <v/>
      </c>
      <c r="H24" s="22">
        <f>IFERROR(SUMIFS(Performance_By_Client!$J$2:$J$2000,Performance_By_Client!$A$2:$A$2000,$A24)/F24,"")</f>
        <v/>
      </c>
      <c r="I24" s="21">
        <f>IFERROR(F24/G24,"")</f>
        <v/>
      </c>
    </row>
    <row r="25">
      <c r="A25">
        <f>Skill_Summary!A25</f>
        <v/>
      </c>
      <c r="B25">
        <f>Skill_Summary!B25</f>
        <v/>
      </c>
      <c r="C25" s="24">
        <f>Skill_Summary!K25</f>
        <v/>
      </c>
      <c r="D25" s="24">
        <f>IFERROR(SUMIFS(Performance_By_Client!$N$2:$N$2000,Performance_By_Client!$A$2:$A$2000,$A25)/SUMIFS(Performance_By_Client!$F$2:$F$2000,Performance_By_Client!$A$2:$A$2000,$A25),"")</f>
        <v/>
      </c>
      <c r="E25" s="24">
        <f>IF($A25="","",Setup!$B$8*C25+Setup!$B$9*D25)</f>
        <v/>
      </c>
      <c r="F25" s="19">
        <f>IFERROR(SUMIFS(Performance_By_Client!$F$2:$F$2000,Performance_By_Client!$A$2:$A$2000,$A25),"")</f>
        <v/>
      </c>
      <c r="G25">
        <f>IFERROR(SUMIFS(Performance_By_Client!$I$2:$I$2000,Performance_By_Client!$A$2:$A$2000,$A25),"")</f>
        <v/>
      </c>
      <c r="H25" s="22">
        <f>IFERROR(SUMIFS(Performance_By_Client!$J$2:$J$2000,Performance_By_Client!$A$2:$A$2000,$A25)/F25,"")</f>
        <v/>
      </c>
      <c r="I25" s="21">
        <f>IFERROR(F25/G25,"")</f>
        <v/>
      </c>
    </row>
    <row r="26">
      <c r="A26">
        <f>Skill_Summary!A26</f>
        <v/>
      </c>
      <c r="B26">
        <f>Skill_Summary!B26</f>
        <v/>
      </c>
      <c r="C26" s="24">
        <f>Skill_Summary!K26</f>
        <v/>
      </c>
      <c r="D26" s="24">
        <f>IFERROR(SUMIFS(Performance_By_Client!$N$2:$N$2000,Performance_By_Client!$A$2:$A$2000,$A26)/SUMIFS(Performance_By_Client!$F$2:$F$2000,Performance_By_Client!$A$2:$A$2000,$A26),"")</f>
        <v/>
      </c>
      <c r="E26" s="24">
        <f>IF($A26="","",Setup!$B$8*C26+Setup!$B$9*D26)</f>
        <v/>
      </c>
      <c r="F26" s="19">
        <f>IFERROR(SUMIFS(Performance_By_Client!$F$2:$F$2000,Performance_By_Client!$A$2:$A$2000,$A26),"")</f>
        <v/>
      </c>
      <c r="G26">
        <f>IFERROR(SUMIFS(Performance_By_Client!$I$2:$I$2000,Performance_By_Client!$A$2:$A$2000,$A26),"")</f>
        <v/>
      </c>
      <c r="H26" s="22">
        <f>IFERROR(SUMIFS(Performance_By_Client!$J$2:$J$2000,Performance_By_Client!$A$2:$A$2000,$A26)/F26,"")</f>
        <v/>
      </c>
      <c r="I26" s="21">
        <f>IFERROR(F26/G26,"")</f>
        <v/>
      </c>
    </row>
    <row r="27">
      <c r="A27">
        <f>Skill_Summary!A27</f>
        <v/>
      </c>
      <c r="B27">
        <f>Skill_Summary!B27</f>
        <v/>
      </c>
      <c r="C27" s="24">
        <f>Skill_Summary!K27</f>
        <v/>
      </c>
      <c r="D27" s="24">
        <f>IFERROR(SUMIFS(Performance_By_Client!$N$2:$N$2000,Performance_By_Client!$A$2:$A$2000,$A27)/SUMIFS(Performance_By_Client!$F$2:$F$2000,Performance_By_Client!$A$2:$A$2000,$A27),"")</f>
        <v/>
      </c>
      <c r="E27" s="24">
        <f>IF($A27="","",Setup!$B$8*C27+Setup!$B$9*D27)</f>
        <v/>
      </c>
      <c r="F27" s="19">
        <f>IFERROR(SUMIFS(Performance_By_Client!$F$2:$F$2000,Performance_By_Client!$A$2:$A$2000,$A27),"")</f>
        <v/>
      </c>
      <c r="G27">
        <f>IFERROR(SUMIFS(Performance_By_Client!$I$2:$I$2000,Performance_By_Client!$A$2:$A$2000,$A27),"")</f>
        <v/>
      </c>
      <c r="H27" s="22">
        <f>IFERROR(SUMIFS(Performance_By_Client!$J$2:$J$2000,Performance_By_Client!$A$2:$A$2000,$A27)/F27,"")</f>
        <v/>
      </c>
      <c r="I27" s="21">
        <f>IFERROR(F27/G27,"")</f>
        <v/>
      </c>
    </row>
    <row r="28">
      <c r="A28">
        <f>Skill_Summary!A28</f>
        <v/>
      </c>
      <c r="B28">
        <f>Skill_Summary!B28</f>
        <v/>
      </c>
      <c r="C28" s="24">
        <f>Skill_Summary!K28</f>
        <v/>
      </c>
      <c r="D28" s="24">
        <f>IFERROR(SUMIFS(Performance_By_Client!$N$2:$N$2000,Performance_By_Client!$A$2:$A$2000,$A28)/SUMIFS(Performance_By_Client!$F$2:$F$2000,Performance_By_Client!$A$2:$A$2000,$A28),"")</f>
        <v/>
      </c>
      <c r="E28" s="24">
        <f>IF($A28="","",Setup!$B$8*C28+Setup!$B$9*D28)</f>
        <v/>
      </c>
      <c r="F28" s="19">
        <f>IFERROR(SUMIFS(Performance_By_Client!$F$2:$F$2000,Performance_By_Client!$A$2:$A$2000,$A28),"")</f>
        <v/>
      </c>
      <c r="G28">
        <f>IFERROR(SUMIFS(Performance_By_Client!$I$2:$I$2000,Performance_By_Client!$A$2:$A$2000,$A28),"")</f>
        <v/>
      </c>
      <c r="H28" s="22">
        <f>IFERROR(SUMIFS(Performance_By_Client!$J$2:$J$2000,Performance_By_Client!$A$2:$A$2000,$A28)/F28,"")</f>
        <v/>
      </c>
      <c r="I28" s="21">
        <f>IFERROR(F28/G28,"")</f>
        <v/>
      </c>
    </row>
    <row r="29">
      <c r="A29">
        <f>Skill_Summary!A29</f>
        <v/>
      </c>
      <c r="B29">
        <f>Skill_Summary!B29</f>
        <v/>
      </c>
      <c r="C29" s="24">
        <f>Skill_Summary!K29</f>
        <v/>
      </c>
      <c r="D29" s="24">
        <f>IFERROR(SUMIFS(Performance_By_Client!$N$2:$N$2000,Performance_By_Client!$A$2:$A$2000,$A29)/SUMIFS(Performance_By_Client!$F$2:$F$2000,Performance_By_Client!$A$2:$A$2000,$A29),"")</f>
        <v/>
      </c>
      <c r="E29" s="24">
        <f>IF($A29="","",Setup!$B$8*C29+Setup!$B$9*D29)</f>
        <v/>
      </c>
      <c r="F29" s="19">
        <f>IFERROR(SUMIFS(Performance_By_Client!$F$2:$F$2000,Performance_By_Client!$A$2:$A$2000,$A29),"")</f>
        <v/>
      </c>
      <c r="G29">
        <f>IFERROR(SUMIFS(Performance_By_Client!$I$2:$I$2000,Performance_By_Client!$A$2:$A$2000,$A29),"")</f>
        <v/>
      </c>
      <c r="H29" s="22">
        <f>IFERROR(SUMIFS(Performance_By_Client!$J$2:$J$2000,Performance_By_Client!$A$2:$A$2000,$A29)/F29,"")</f>
        <v/>
      </c>
      <c r="I29" s="21">
        <f>IFERROR(F29/G29,"")</f>
        <v/>
      </c>
    </row>
    <row r="30">
      <c r="A30">
        <f>Skill_Summary!A30</f>
        <v/>
      </c>
      <c r="B30">
        <f>Skill_Summary!B30</f>
        <v/>
      </c>
      <c r="C30" s="24">
        <f>Skill_Summary!K30</f>
        <v/>
      </c>
      <c r="D30" s="24">
        <f>IFERROR(SUMIFS(Performance_By_Client!$N$2:$N$2000,Performance_By_Client!$A$2:$A$2000,$A30)/SUMIFS(Performance_By_Client!$F$2:$F$2000,Performance_By_Client!$A$2:$A$2000,$A30),"")</f>
        <v/>
      </c>
      <c r="E30" s="24">
        <f>IF($A30="","",Setup!$B$8*C30+Setup!$B$9*D30)</f>
        <v/>
      </c>
      <c r="F30" s="19">
        <f>IFERROR(SUMIFS(Performance_By_Client!$F$2:$F$2000,Performance_By_Client!$A$2:$A$2000,$A30),"")</f>
        <v/>
      </c>
      <c r="G30">
        <f>IFERROR(SUMIFS(Performance_By_Client!$I$2:$I$2000,Performance_By_Client!$A$2:$A$2000,$A30),"")</f>
        <v/>
      </c>
      <c r="H30" s="22">
        <f>IFERROR(SUMIFS(Performance_By_Client!$J$2:$J$2000,Performance_By_Client!$A$2:$A$2000,$A30)/F30,"")</f>
        <v/>
      </c>
      <c r="I30" s="21">
        <f>IFERROR(F30/G30,"")</f>
        <v/>
      </c>
    </row>
    <row r="31">
      <c r="A31">
        <f>Skill_Summary!A31</f>
        <v/>
      </c>
      <c r="B31">
        <f>Skill_Summary!B31</f>
        <v/>
      </c>
      <c r="C31" s="24">
        <f>Skill_Summary!K31</f>
        <v/>
      </c>
      <c r="D31" s="24">
        <f>IFERROR(SUMIFS(Performance_By_Client!$N$2:$N$2000,Performance_By_Client!$A$2:$A$2000,$A31)/SUMIFS(Performance_By_Client!$F$2:$F$2000,Performance_By_Client!$A$2:$A$2000,$A31),"")</f>
        <v/>
      </c>
      <c r="E31" s="24">
        <f>IF($A31="","",Setup!$B$8*C31+Setup!$B$9*D31)</f>
        <v/>
      </c>
      <c r="F31" s="19">
        <f>IFERROR(SUMIFS(Performance_By_Client!$F$2:$F$2000,Performance_By_Client!$A$2:$A$2000,$A31),"")</f>
        <v/>
      </c>
      <c r="G31">
        <f>IFERROR(SUMIFS(Performance_By_Client!$I$2:$I$2000,Performance_By_Client!$A$2:$A$2000,$A31),"")</f>
        <v/>
      </c>
      <c r="H31" s="22">
        <f>IFERROR(SUMIFS(Performance_By_Client!$J$2:$J$2000,Performance_By_Client!$A$2:$A$2000,$A31)/F31,"")</f>
        <v/>
      </c>
      <c r="I31" s="21">
        <f>IFERROR(F31/G31,"")</f>
        <v/>
      </c>
    </row>
  </sheetData>
  <conditionalFormatting sqref="E2:E31">
    <cfRule type="colorScale" priority="1">
      <colorScale>
        <cfvo type="num" val="0"/>
        <cfvo type="num" val="80"/>
        <cfvo type="num" val="110"/>
        <color rgb="00F8CBAD"/>
        <color rgb="00FFF2CC"/>
        <color rgb="00C6E0B4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5" t="inlineStr">
        <is>
          <t>KPI Dashboard</t>
        </is>
      </c>
    </row>
    <row r="3">
      <c r="A3" s="26" t="inlineStr">
        <is>
          <t>Reporting window</t>
        </is>
      </c>
      <c r="B3" s="11">
        <f>Setup!B4</f>
        <v/>
      </c>
      <c r="C3" t="inlineStr">
        <is>
          <t>to</t>
        </is>
      </c>
      <c r="D3" s="11">
        <f>Setup!B5</f>
        <v/>
      </c>
    </row>
    <row r="5">
      <c r="A5" s="26" t="inlineStr">
        <is>
          <t>Team Spend</t>
        </is>
      </c>
      <c r="B5" s="19">
        <f>SUM(Staff_Scorecard!F2:F101)</f>
        <v/>
      </c>
    </row>
    <row r="6">
      <c r="A6" s="26" t="inlineStr">
        <is>
          <t>Team Conversions</t>
        </is>
      </c>
      <c r="B6">
        <f>SUM(Staff_Scorecard!G2:G101)</f>
        <v/>
      </c>
    </row>
    <row r="7">
      <c r="A7" s="26" t="inlineStr">
        <is>
          <t>Team Blended ROAS</t>
        </is>
      </c>
      <c r="B7" s="22">
        <f>IFERROR(SUM(Performance_By_Client!J2:J31)/SUM(Performance_By_Client!F2:F31),"")</f>
        <v/>
      </c>
    </row>
    <row r="8">
      <c r="A8" s="26" t="inlineStr">
        <is>
          <t>Team Blended CPA</t>
        </is>
      </c>
      <c r="B8" s="21">
        <f>IFERROR(SUM(Performance_By_Client!F2:F31)/SUM(Performance_By_Client!I2:I31),"")</f>
        <v/>
      </c>
    </row>
    <row r="10">
      <c r="A10" s="2" t="inlineStr">
        <is>
          <t>Top performers (by Overall KPI)</t>
        </is>
      </c>
    </row>
    <row r="11" ht="22" customHeight="1">
      <c r="A11" s="27" t="inlineStr">
        <is>
          <t>Rank</t>
        </is>
      </c>
      <c r="B11" s="27" t="inlineStr">
        <is>
          <t>Name</t>
        </is>
      </c>
      <c r="C11" s="27" t="inlineStr">
        <is>
          <t>Overall</t>
        </is>
      </c>
      <c r="D11" s="27" t="inlineStr">
        <is>
          <t>Skill</t>
        </is>
      </c>
      <c r="E11" s="27" t="inlineStr">
        <is>
          <t>Performance</t>
        </is>
      </c>
    </row>
    <row r="12">
      <c r="A12" t="n">
        <v>1</v>
      </c>
      <c r="B12" t="inlineStr">
        <is>
          <t>(use filter/sort on Staff_Scorecard)</t>
        </is>
      </c>
    </row>
    <row r="13">
      <c r="A13" t="n">
        <v>2</v>
      </c>
      <c r="B13" t="inlineStr">
        <is>
          <t>(use filter/sort on Staff_Scorecard)</t>
        </is>
      </c>
    </row>
    <row r="14">
      <c r="A14" t="n">
        <v>3</v>
      </c>
      <c r="B14" t="inlineStr">
        <is>
          <t>(use filter/sort on Staff_Scorecard)</t>
        </is>
      </c>
    </row>
    <row r="15">
      <c r="A15" t="n">
        <v>4</v>
      </c>
      <c r="B15" t="inlineStr">
        <is>
          <t>(use filter/sort on Staff_Scorecard)</t>
        </is>
      </c>
    </row>
    <row r="16">
      <c r="A16" t="n">
        <v>5</v>
      </c>
      <c r="B16" t="inlineStr">
        <is>
          <t>(use filter/sort on Staff_Scorecard)</t>
        </is>
      </c>
    </row>
    <row r="17">
      <c r="A17" t="n">
        <v>6</v>
      </c>
      <c r="B17" t="inlineStr">
        <is>
          <t>(use filter/sort on Staff_Scorecard)</t>
        </is>
      </c>
    </row>
    <row r="18">
      <c r="A18" t="n">
        <v>7</v>
      </c>
      <c r="B18" t="inlineStr">
        <is>
          <t>(use filter/sort on Staff_Scorecard)</t>
        </is>
      </c>
    </row>
    <row r="19">
      <c r="A19" t="n">
        <v>8</v>
      </c>
      <c r="B19" t="inlineStr">
        <is>
          <t>(use filter/sort on Staff_Scorecard)</t>
        </is>
      </c>
    </row>
    <row r="20">
      <c r="A20" t="n">
        <v>9</v>
      </c>
      <c r="B20" t="inlineStr">
        <is>
          <t>(use filter/sort on Staff_Scorecard)</t>
        </is>
      </c>
    </row>
    <row r="21">
      <c r="A21" t="n">
        <v>10</v>
      </c>
      <c r="B21" t="inlineStr">
        <is>
          <t>(use filter/sort on Staff_Scorecard)</t>
        </is>
      </c>
    </row>
  </sheetData>
  <mergeCells count="2">
    <mergeCell ref="A1:E1"/>
    <mergeCell ref="A10:E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2026-01-19T08:01:50Z</dcterms:created>
  <dcterms:modified xmlns:dcterms="http://purl.org/dc/terms/" xmlns:xsi="http://www.w3.org/2001/XMLSchema-instance" xsi:type="dcterms:W3CDTF">2026-01-19T08:33:03Z</dcterms:modified>
</cp:coreProperties>
</file>