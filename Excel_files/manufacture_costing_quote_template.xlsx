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Overview" sheetId="1" state="visible" r:id="rId1"/>
    <sheet xmlns:r="http://schemas.openxmlformats.org/officeDocument/2006/relationships" name="Material Costs" sheetId="2" state="visible" r:id="rId2"/>
    <sheet xmlns:r="http://schemas.openxmlformats.org/officeDocument/2006/relationships" name="Labor Costs" sheetId="3" state="visible" r:id="rId3"/>
    <sheet xmlns:r="http://schemas.openxmlformats.org/officeDocument/2006/relationships" name="Overhead Costs" sheetId="4" state="visible" r:id="rId4"/>
    <sheet xmlns:r="http://schemas.openxmlformats.org/officeDocument/2006/relationships" name="Logistics Costs" sheetId="5" state="visible" r:id="rId5"/>
    <sheet xmlns:r="http://schemas.openxmlformats.org/officeDocument/2006/relationships" name="Cost Summary" sheetId="6" state="visible" r:id="rId6"/>
    <sheet xmlns:r="http://schemas.openxmlformats.org/officeDocument/2006/relationships" name="Historical Analysis" sheetId="7" state="visible" r:id="rId7"/>
    <sheet xmlns:r="http://schemas.openxmlformats.org/officeDocument/2006/relationships" name="Quote Input" sheetId="8" state="visible" r:id="rId8"/>
    <sheet xmlns:r="http://schemas.openxmlformats.org/officeDocument/2006/relationships" name="Customer Database" sheetId="9" state="visible" r:id="rId9"/>
    <sheet xmlns:r="http://schemas.openxmlformats.org/officeDocument/2006/relationships" name="Product Database" sheetId="10" state="visible" r:id="rId10"/>
    <sheet xmlns:r="http://schemas.openxmlformats.org/officeDocument/2006/relationships" name="Quote Summary" sheetId="11" state="visible" r:id="rId11"/>
    <sheet xmlns:r="http://schemas.openxmlformats.org/officeDocument/2006/relationships" name="Quote Print Layout" sheetId="12" state="visible" r:id="rId12"/>
    <sheet xmlns:r="http://schemas.openxmlformats.org/officeDocument/2006/relationships" name="Quotation 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$#,##0"/>
  </numFmts>
  <fonts count="13">
    <font>
      <name val="Calibri"/>
      <family val="2"/>
      <color theme="1"/>
      <sz val="11"/>
      <scheme val="minor"/>
    </font>
    <font>
      <name val="Calibri"/>
      <b val="1"/>
      <color rgb="002E5090"/>
      <sz val="16"/>
    </font>
    <font>
      <b val="1"/>
      <sz val="12"/>
    </font>
    <font>
      <name val="Calibri"/>
      <b val="1"/>
      <color rgb="00FFFFFF"/>
      <sz val="12"/>
    </font>
    <font>
      <i val="1"/>
      <sz val="10"/>
    </font>
    <font>
      <b val="1"/>
    </font>
    <font>
      <b val="1"/>
      <sz val="11"/>
    </font>
    <font>
      <b val="1"/>
      <color rgb="00007BFF"/>
    </font>
    <font>
      <b val="1"/>
      <sz val="14"/>
    </font>
    <font>
      <i val="1"/>
    </font>
    <font>
      <name val="Calibri"/>
      <b val="1"/>
      <color rgb="002E5090"/>
      <sz val="20"/>
    </font>
    <font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  <xf numFmtId="164" fontId="5" fillId="0" borderId="1" pivotButton="0" quotePrefix="0" xfId="0"/>
    <xf numFmtId="0" fontId="5" fillId="3" borderId="1" pivotButton="0" quotePrefix="0" xfId="0"/>
    <xf numFmtId="164" fontId="2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9" fontId="0" fillId="0" borderId="1" pivotButton="0" quotePrefix="0" xfId="0"/>
    <xf numFmtId="164" fontId="7" fillId="0" borderId="0" pivotButton="0" quotePrefix="0" xfId="0"/>
    <xf numFmtId="0" fontId="5" fillId="0" borderId="0" pivotButton="0" quotePrefix="0" xfId="0"/>
    <xf numFmtId="164" fontId="5" fillId="3" borderId="1" pivotButton="0" quotePrefix="0" xfId="0"/>
    <xf numFmtId="164" fontId="0" fillId="0" borderId="0" pivotButton="0" quotePrefix="0" xfId="0"/>
    <xf numFmtId="164" fontId="8" fillId="3" borderId="0" pivotButton="0" quotePrefix="0" xfId="0"/>
    <xf numFmtId="165" fontId="7" fillId="0" borderId="0" pivotButton="0" quotePrefix="0" xfId="0"/>
    <xf numFmtId="166" fontId="0" fillId="0" borderId="1" pivotButton="0" quotePrefix="0" xfId="0"/>
    <xf numFmtId="3" fontId="0" fillId="0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right"/>
    </xf>
    <xf numFmtId="0" fontId="11" fillId="0" borderId="0" pivotButton="0" quotePrefix="0" xfId="0"/>
    <xf numFmtId="0" fontId="12" fillId="2" borderId="1" applyAlignment="1" pivotButton="0" quotePrefix="0" xfId="0">
      <alignment horizontal="center"/>
    </xf>
    <xf numFmtId="164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 Overview'!B12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Overview'!$A$13:$A$16</f>
            </numRef>
          </cat>
          <val>
            <numRef>
              <f>'Dashboard Overview'!$B$13:$B$16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Trends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Analysis'!B5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 Analysis'!$B$6:$B$17</f>
            </numRef>
          </val>
        </ser>
        <ser>
          <idx val="1"/>
          <order val="1"/>
          <tx>
            <strRef>
              <f>'Historical Analysis'!C5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 Analysis'!$C$6:$C$17</f>
            </numRef>
          </val>
        </ser>
        <ser>
          <idx val="2"/>
          <order val="2"/>
          <tx>
            <strRef>
              <f>'Historical Analysis'!D5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 Analysis'!$D$6:$D$17</f>
            </numRef>
          </val>
        </ser>
        <ser>
          <idx val="3"/>
          <order val="3"/>
          <tx>
            <strRef>
              <f>'Historical Analysis'!E5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 Analysis'!$E$6:$E$17</f>
            </numRef>
          </val>
        </ser>
        <ser>
          <idx val="4"/>
          <order val="4"/>
          <tx>
            <strRef>
              <f>'Historical Analysis'!F5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 Analysis'!$F$6:$F$17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Quote Outcomes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'Quotation History'!$A$28:$A$30</f>
            </numRef>
          </cat>
          <val>
            <numRef>
              <f>'Quotation History'!$B$27:$B$30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24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terial Costs'!A1" TargetMode="External" Id="rId1"/><Relationship Type="http://schemas.openxmlformats.org/officeDocument/2006/relationships/hyperlink" Target="#'Labor Costs'!A1" TargetMode="External" Id="rId2"/><Relationship Type="http://schemas.openxmlformats.org/officeDocument/2006/relationships/hyperlink" Target="#'Overhead Costs'!A1" TargetMode="External" Id="rId3"/><Relationship Type="http://schemas.openxmlformats.org/officeDocument/2006/relationships/hyperlink" Target="#'Logistics Costs'!A1" TargetMode="External" Id="rId4"/><Relationship Type="http://schemas.openxmlformats.org/officeDocument/2006/relationships/hyperlink" Target="#'Cost Summary'!A1" TargetMode="External" Id="rId5"/><Relationship Type="http://schemas.openxmlformats.org/officeDocument/2006/relationships/hyperlink" Target="#'Historical Analysis'!A1" TargetMode="External" Id="rId6"/><Relationship Type="http://schemas.openxmlformats.org/officeDocument/2006/relationships/drawing" Target="/xl/drawings/drawing1.xml" Id="rId7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COSTING DASHBOARD</t>
        </is>
      </c>
      <c r="H1" s="2" t="inlineStr">
        <is>
          <t>Date: 2026-01-19</t>
        </is>
      </c>
    </row>
    <row r="3">
      <c r="A3" s="3" t="inlineStr">
        <is>
          <t>Product Selection</t>
        </is>
      </c>
      <c r="B3" t="inlineStr">
        <is>
          <t>Select Product</t>
        </is>
      </c>
      <c r="C3" t="inlineStr">
        <is>
          <t>Product A</t>
        </is>
      </c>
      <c r="E3" s="3" t="inlineStr">
        <is>
          <t>Quick Navigation</t>
        </is>
      </c>
    </row>
    <row r="4">
      <c r="E4" t="inlineStr">
        <is>
          <t>→ Material Costs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  <c r="E5" t="inlineStr">
        <is>
          <t>→ Labor Costs</t>
        </is>
      </c>
    </row>
    <row r="6">
      <c r="A6" s="5" t="inlineStr">
        <is>
          <t>Total Manufacturing Cost</t>
        </is>
      </c>
      <c r="B6" s="6" t="n">
        <v>0</v>
      </c>
      <c r="C6" s="5" t="inlineStr"/>
      <c r="E6" t="inlineStr">
        <is>
          <t>→ Overhead Costs</t>
        </is>
      </c>
    </row>
    <row r="7">
      <c r="A7" s="5" t="inlineStr">
        <is>
          <t>Suggested Retail Price</t>
        </is>
      </c>
      <c r="B7" s="6" t="n">
        <v>0</v>
      </c>
      <c r="C7" s="5" t="inlineStr"/>
      <c r="E7" t="inlineStr">
        <is>
          <t>→ Logistics Costs</t>
        </is>
      </c>
    </row>
    <row r="8">
      <c r="A8" s="5" t="inlineStr">
        <is>
          <t>Profit Margin %</t>
        </is>
      </c>
      <c r="B8" s="6" t="n">
        <v>0</v>
      </c>
      <c r="C8" s="5" t="inlineStr"/>
      <c r="E8" t="inlineStr">
        <is>
          <t>→ Cost Summary</t>
        </is>
      </c>
    </row>
    <row r="9">
      <c r="A9" s="5" t="inlineStr">
        <is>
          <t>Material Cost</t>
        </is>
      </c>
      <c r="B9" s="6" t="n">
        <v>0</v>
      </c>
      <c r="C9" s="5" t="inlineStr"/>
      <c r="E9" t="inlineStr">
        <is>
          <t>→ Historical Analysis</t>
        </is>
      </c>
    </row>
    <row r="10">
      <c r="A10" s="5" t="inlineStr">
        <is>
          <t>Labor Cost</t>
        </is>
      </c>
      <c r="B10" s="6" t="n">
        <v>0</v>
      </c>
      <c r="C10" s="5" t="inlineStr"/>
    </row>
    <row r="11">
      <c r="A11" s="5" t="inlineStr">
        <is>
          <t>Overhead Cost</t>
        </is>
      </c>
      <c r="B11" s="6" t="n">
        <v>0</v>
      </c>
      <c r="C11" s="5" t="inlineStr"/>
    </row>
    <row r="12">
      <c r="A12" s="7" t="inlineStr">
        <is>
          <t>Cost Category</t>
        </is>
      </c>
      <c r="B12" s="8" t="inlineStr">
        <is>
          <t>Amount</t>
        </is>
      </c>
      <c r="C12" s="5" t="inlineStr"/>
    </row>
    <row r="13">
      <c r="A13" s="5" t="inlineStr">
        <is>
          <t>Materials</t>
        </is>
      </c>
      <c r="B13" s="6" t="n">
        <v>0</v>
      </c>
    </row>
    <row r="14">
      <c r="A14" s="5" t="inlineStr">
        <is>
          <t>Labor</t>
        </is>
      </c>
      <c r="B14" s="6" t="n">
        <v>0</v>
      </c>
    </row>
    <row r="15">
      <c r="A15" s="5" t="inlineStr">
        <is>
          <t>Overhead</t>
        </is>
      </c>
      <c r="B15" s="6" t="n">
        <v>0</v>
      </c>
    </row>
    <row r="16">
      <c r="A16" s="5" t="inlineStr">
        <is>
          <t>Logistics</t>
        </is>
      </c>
      <c r="B16" s="6" t="n">
        <v>0</v>
      </c>
    </row>
  </sheetData>
  <mergeCells count="1">
    <mergeCell ref="A1:F1"/>
  </mergeCells>
  <dataValidations count="1">
    <dataValidation sqref="C3" showDropDown="0" showInputMessage="0" showErrorMessage="0" allowBlank="1" type="list">
      <formula1>"Product A,Product B,Product C"</formula1>
    </dataValidation>
  </dataValidation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MATERIAL COSTS</t>
        </is>
      </c>
    </row>
    <row r="3">
      <c r="A3" s="10" t="inlineStr">
        <is>
          <t>Enter material details below. Formulas will calculate totals automatically.</t>
        </is>
      </c>
    </row>
    <row r="5">
      <c r="A5" s="4" t="inlineStr">
        <is>
          <t>Item #</t>
        </is>
      </c>
      <c r="B5" s="4" t="inlineStr">
        <is>
          <t>Material Description</t>
        </is>
      </c>
      <c r="C5" s="4" t="inlineStr">
        <is>
          <t>Supplier</t>
        </is>
      </c>
      <c r="D5" s="4" t="inlineStr">
        <is>
          <t>Unit</t>
        </is>
      </c>
      <c r="E5" s="4" t="inlineStr">
        <is>
          <t>Quantity</t>
        </is>
      </c>
      <c r="F5" s="4" t="inlineStr">
        <is>
          <t>Unit Cost</t>
        </is>
      </c>
      <c r="G5" s="4" t="inlineStr">
        <is>
          <t>Total Cost</t>
        </is>
      </c>
      <c r="H5" s="4" t="inlineStr">
        <is>
          <t>Notes</t>
        </is>
      </c>
    </row>
    <row r="6">
      <c r="A6" s="5" t="n">
        <v>1</v>
      </c>
      <c r="B6" s="5" t="inlineStr">
        <is>
          <t>Raw Material Alpha</t>
        </is>
      </c>
      <c r="C6" s="5" t="inlineStr">
        <is>
          <t>Supplier A</t>
        </is>
      </c>
      <c r="D6" s="5" t="inlineStr">
        <is>
          <t>kg</t>
        </is>
      </c>
      <c r="E6" s="5" t="n">
        <v>100</v>
      </c>
      <c r="F6" s="6" t="n">
        <v>5.5</v>
      </c>
      <c r="G6" s="11">
        <f>E6*F6</f>
        <v/>
      </c>
      <c r="H6" s="5" t="inlineStr"/>
    </row>
    <row r="7">
      <c r="A7" s="5" t="n">
        <v>2</v>
      </c>
      <c r="B7" s="5" t="inlineStr">
        <is>
          <t>Component Beta</t>
        </is>
      </c>
      <c r="C7" s="5" t="inlineStr">
        <is>
          <t>Supplier B</t>
        </is>
      </c>
      <c r="D7" s="5" t="inlineStr">
        <is>
          <t>pcs</t>
        </is>
      </c>
      <c r="E7" s="5" t="n">
        <v>250</v>
      </c>
      <c r="F7" s="6" t="n">
        <v>2.75</v>
      </c>
      <c r="G7" s="11">
        <f>E7*F7</f>
        <v/>
      </c>
      <c r="H7" s="5" t="inlineStr"/>
    </row>
    <row r="8">
      <c r="A8" s="5" t="n">
        <v>3</v>
      </c>
      <c r="B8" s="5" t="inlineStr">
        <is>
          <t>Packaging Material</t>
        </is>
      </c>
      <c r="C8" s="5" t="inlineStr">
        <is>
          <t>Supplier C</t>
        </is>
      </c>
      <c r="D8" s="5" t="inlineStr">
        <is>
          <t>pcs</t>
        </is>
      </c>
      <c r="E8" s="5" t="n">
        <v>500</v>
      </c>
      <c r="F8" s="6" t="n">
        <v>0.5</v>
      </c>
      <c r="G8" s="11">
        <f>E8*F8</f>
        <v/>
      </c>
      <c r="H8" s="5" t="inlineStr"/>
    </row>
    <row r="9">
      <c r="A9" s="5" t="n">
        <v>4</v>
      </c>
      <c r="B9" s="5" t="inlineStr">
        <is>
          <t>Chemical Additive</t>
        </is>
      </c>
      <c r="C9" s="5" t="inlineStr">
        <is>
          <t>Supplier A</t>
        </is>
      </c>
      <c r="D9" s="5" t="inlineStr">
        <is>
          <t>liters</t>
        </is>
      </c>
      <c r="E9" s="5" t="n">
        <v>25</v>
      </c>
      <c r="F9" s="6" t="n">
        <v>12</v>
      </c>
      <c r="G9" s="11">
        <f>E9*F9</f>
        <v/>
      </c>
      <c r="H9" s="5" t="inlineStr"/>
    </row>
    <row r="10">
      <c r="A10" s="5" t="n">
        <v>5</v>
      </c>
      <c r="B10" s="5" t="inlineStr">
        <is>
          <t>Fasteners Set</t>
        </is>
      </c>
      <c r="C10" s="5" t="inlineStr">
        <is>
          <t>Supplier D</t>
        </is>
      </c>
      <c r="D10" s="5" t="inlineStr">
        <is>
          <t>pcs</t>
        </is>
      </c>
      <c r="E10" s="5" t="n">
        <v>1000</v>
      </c>
      <c r="F10" s="6" t="n">
        <v>0.15</v>
      </c>
      <c r="G10" s="11">
        <f>E10*F10</f>
        <v/>
      </c>
      <c r="H10" s="5" t="inlineStr"/>
    </row>
    <row r="25">
      <c r="A25" s="3" t="inlineStr">
        <is>
          <t>MATERIAL COST SUMMARY</t>
        </is>
      </c>
    </row>
    <row r="26">
      <c r="A26" s="4" t="inlineStr">
        <is>
          <t>Category</t>
        </is>
      </c>
      <c r="B26" s="4" t="inlineStr">
        <is>
          <t>Total Cost</t>
        </is>
      </c>
      <c r="C26" s="4" t="inlineStr">
        <is>
          <t>% of Materials</t>
        </is>
      </c>
    </row>
    <row r="27">
      <c r="A27" s="5" t="inlineStr">
        <is>
          <t>Raw Materials</t>
        </is>
      </c>
      <c r="B27" s="5">
        <f>SUM(G6:G50)</f>
        <v/>
      </c>
      <c r="C27" s="5">
        <f>IF(B26&gt;0,G26/B27,0)</f>
        <v/>
      </c>
    </row>
    <row r="28">
      <c r="A28" s="5" t="inlineStr">
        <is>
          <t>Components</t>
        </is>
      </c>
      <c r="B28" s="6" t="n">
        <v>0</v>
      </c>
      <c r="C28" s="6" t="n">
        <v>0</v>
      </c>
    </row>
    <row r="29">
      <c r="A29" s="5" t="inlineStr">
        <is>
          <t>Packaging</t>
        </is>
      </c>
      <c r="B29" s="6" t="n">
        <v>0</v>
      </c>
      <c r="C29" s="6" t="n">
        <v>0</v>
      </c>
    </row>
    <row r="30">
      <c r="A30" s="5" t="inlineStr">
        <is>
          <t>Consumables</t>
        </is>
      </c>
      <c r="B30" s="6" t="n">
        <v>0</v>
      </c>
      <c r="C30" s="6" t="n">
        <v>0</v>
      </c>
    </row>
    <row r="31">
      <c r="A31" s="12" t="inlineStr">
        <is>
          <t>TOTAL MATERIALS</t>
        </is>
      </c>
      <c r="B31" s="12">
        <f>SUM(B26:B29)</f>
        <v/>
      </c>
      <c r="C31" s="12" t="inlineStr">
        <is>
          <t>100%</t>
        </is>
      </c>
    </row>
  </sheetData>
  <mergeCells count="1">
    <mergeCell ref="A1:H1"/>
  </mergeCells>
  <dataValidations count="4">
    <dataValidation sqref="C6:C50" showDropDown="0" showInputMessage="0" showErrorMessage="0" allowBlank="1" type="list">
      <formula1>"Supplier A,Supplier B,Supplier C,Supplier D"</formula1>
    </dataValidation>
    <dataValidation sqref="D6:D50" showDropDown="0" showInputMessage="0" showErrorMessage="0" allowBlank="1" type="list">
      <formula1>"pcs,kg,lbs,meters,liters,gallons"</formula1>
    </dataValidation>
    <dataValidation sqref="E6:E50" showDropDown="0" showInputMessage="0" showErrorMessage="0" allowBlank="0" error="Quantity must be a positive number" type="whole" operator="greaterThan">
      <formula1>0</formula1>
    </dataValidation>
    <dataValidation sqref="F6:F50" showDropDown="0" showInputMessage="0" showErrorMessage="0" allowBlank="0" error="Unit cost must be a positive number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LABOR COSTS</t>
        </is>
      </c>
    </row>
    <row r="3">
      <c r="A3" s="4" t="inlineStr">
        <is>
          <t>Labor Category</t>
        </is>
      </c>
      <c r="B3" s="4" t="inlineStr">
        <is>
          <t>Hourly Rate ($)</t>
        </is>
      </c>
      <c r="C3" s="4" t="inlineStr">
        <is>
          <t>Hours/Unit</t>
        </is>
      </c>
      <c r="D3" s="4" t="inlineStr">
        <is>
          <t>Total Cost/Unit</t>
        </is>
      </c>
      <c r="E3" s="4" t="inlineStr">
        <is>
          <t>Notes</t>
        </is>
      </c>
    </row>
    <row r="6">
      <c r="A6" s="5" t="inlineStr">
        <is>
          <t>Direct Labor - Assembly</t>
        </is>
      </c>
      <c r="B6" s="5" t="n">
        <v>25</v>
      </c>
      <c r="C6" s="5" t="n">
        <v>2.5</v>
      </c>
      <c r="D6" s="11">
        <f>B6*C6</f>
        <v/>
      </c>
      <c r="E6" s="5" t="inlineStr"/>
    </row>
    <row r="7">
      <c r="A7" s="5" t="inlineStr">
        <is>
          <t>Direct Labor - Testing</t>
        </is>
      </c>
      <c r="B7" s="5" t="n">
        <v>28</v>
      </c>
      <c r="C7" s="5" t="n">
        <v>0.5</v>
      </c>
      <c r="D7" s="11">
        <f>B7*C7</f>
        <v/>
      </c>
      <c r="E7" s="5" t="inlineStr"/>
    </row>
    <row r="8">
      <c r="A8" s="5" t="inlineStr">
        <is>
          <t>Indirect Labor - Supervision</t>
        </is>
      </c>
      <c r="B8" s="5" t="n">
        <v>35</v>
      </c>
      <c r="C8" s="5" t="n">
        <v>0.25</v>
      </c>
      <c r="D8" s="11">
        <f>B8*C8</f>
        <v/>
      </c>
      <c r="E8" s="5" t="inlineStr"/>
    </row>
    <row r="9">
      <c r="A9" s="5" t="inlineStr">
        <is>
          <t>Quality Assurance</t>
        </is>
      </c>
      <c r="B9" s="5" t="n">
        <v>30</v>
      </c>
      <c r="C9" s="5" t="n">
        <v>0.75</v>
      </c>
      <c r="D9" s="11">
        <f>B9*C9</f>
        <v/>
      </c>
      <c r="E9" s="5" t="inlineStr"/>
    </row>
    <row r="10">
      <c r="A10" s="5" t="inlineStr">
        <is>
          <t>Setup Labor</t>
        </is>
      </c>
      <c r="B10" s="5" t="n">
        <v>27</v>
      </c>
      <c r="C10" s="5" t="n">
        <v>0.5</v>
      </c>
      <c r="D10" s="11">
        <f>B10*C10</f>
        <v/>
      </c>
      <c r="E10" s="5" t="inlineStr"/>
    </row>
    <row r="20">
      <c r="A20" s="3" t="inlineStr">
        <is>
          <t>LABOR COST SUMMARY</t>
        </is>
      </c>
    </row>
    <row r="21">
      <c r="A21" t="inlineStr">
        <is>
          <t>Total Labor Cost per Unit</t>
        </is>
      </c>
      <c r="B21" s="13">
        <f>SUM(D6:D50)</f>
        <v/>
      </c>
    </row>
  </sheetData>
  <mergeCells count="1">
    <mergeCell ref="A1:E1"/>
  </mergeCells>
  <dataValidations count="2">
    <dataValidation sqref="B6:B50" showDropDown="0" showInputMessage="0" showErrorMessage="0" allowBlank="0" type="decimal" operator="greaterThan">
      <formula1>0</formula1>
    </dataValidation>
    <dataValidation sqref="C6:C5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OVERHEAD COSTS</t>
        </is>
      </c>
    </row>
    <row r="3">
      <c r="A3" t="inlineStr">
        <is>
          <t>Allocation Method:</t>
        </is>
      </c>
      <c r="B3" t="inlineStr">
        <is>
          <t>Direct Labor Hours</t>
        </is>
      </c>
    </row>
    <row r="5">
      <c r="A5" s="4" t="inlineStr">
        <is>
          <t>Overhead Item</t>
        </is>
      </c>
      <c r="B5" s="4" t="inlineStr">
        <is>
          <t>Category</t>
        </is>
      </c>
      <c r="C5" s="4" t="inlineStr">
        <is>
          <t>Total Cost ($)</t>
        </is>
      </c>
      <c r="D5" s="4" t="inlineStr">
        <is>
          <t>Allocation Rate</t>
        </is>
      </c>
    </row>
    <row r="6">
      <c r="A6" s="5" t="inlineStr">
        <is>
          <t>Factory Rent</t>
        </is>
      </c>
      <c r="B6" s="5" t="inlineStr">
        <is>
          <t>Production</t>
        </is>
      </c>
      <c r="C6" s="6" t="n">
        <v>15000</v>
      </c>
      <c r="D6" s="6">
        <f>IF($B$3="Direct Labor Hours",C6/100,0)</f>
        <v/>
      </c>
    </row>
    <row r="7">
      <c r="A7" s="5" t="inlineStr">
        <is>
          <t>Utilities</t>
        </is>
      </c>
      <c r="B7" s="5" t="inlineStr">
        <is>
          <t>Production</t>
        </is>
      </c>
      <c r="C7" s="6" t="n">
        <v>3500</v>
      </c>
      <c r="D7" s="6">
        <f>IF($B$3="Direct Labor Hours",C7/100,0)</f>
        <v/>
      </c>
    </row>
    <row r="8">
      <c r="A8" s="5" t="inlineStr">
        <is>
          <t>Equipment Depreciation</t>
        </is>
      </c>
      <c r="B8" s="5" t="inlineStr">
        <is>
          <t>Production</t>
        </is>
      </c>
      <c r="C8" s="6" t="n">
        <v>8000</v>
      </c>
      <c r="D8" s="6">
        <f>IF($B$3="Direct Labor Hours",C8/100,0)</f>
        <v/>
      </c>
    </row>
    <row r="9">
      <c r="A9" s="5" t="inlineStr">
        <is>
          <t>Maintenance</t>
        </is>
      </c>
      <c r="B9" s="5" t="inlineStr">
        <is>
          <t>Production</t>
        </is>
      </c>
      <c r="C9" s="6" t="n">
        <v>2500</v>
      </c>
      <c r="D9" s="6">
        <f>IF($B$3="Direct Labor Hours",C9/100,0)</f>
        <v/>
      </c>
    </row>
    <row r="10">
      <c r="A10" s="5" t="inlineStr">
        <is>
          <t>Insurance</t>
        </is>
      </c>
      <c r="B10" s="5" t="inlineStr">
        <is>
          <t>Facility</t>
        </is>
      </c>
      <c r="C10" s="6" t="n">
        <v>1200</v>
      </c>
      <c r="D10" s="6">
        <f>IF($B$3="Direct Labor Hours",C10/100,0)</f>
        <v/>
      </c>
    </row>
    <row r="11">
      <c r="A11" s="5" t="inlineStr">
        <is>
          <t>Supervision</t>
        </is>
      </c>
      <c r="B11" s="5" t="inlineStr">
        <is>
          <t>Administrative</t>
        </is>
      </c>
      <c r="C11" s="6" t="n">
        <v>5000</v>
      </c>
      <c r="D11" s="6">
        <f>IF($B$3="Direct Labor Hours",C11/100,0)</f>
        <v/>
      </c>
    </row>
    <row r="18">
      <c r="A18" s="3" t="inlineStr">
        <is>
          <t>OVERHEAD ALLOCATION</t>
        </is>
      </c>
    </row>
    <row r="20">
      <c r="A20" t="inlineStr">
        <is>
          <t>Total Overhead Costs</t>
        </is>
      </c>
      <c r="B20" s="14">
        <f>SUM(C6:C50)</f>
        <v/>
      </c>
    </row>
    <row r="21">
      <c r="A21" t="inlineStr">
        <is>
          <t>Allocated Overhead per Unit</t>
        </is>
      </c>
      <c r="B21" s="14">
        <f>B20/100</f>
        <v/>
      </c>
    </row>
  </sheetData>
  <mergeCells count="1">
    <mergeCell ref="A1:D1"/>
  </mergeCells>
  <dataValidations count="1">
    <dataValidation sqref="C6:C50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LOGISTICS COSTS</t>
        </is>
      </c>
    </row>
    <row r="3">
      <c r="A3" s="15" t="inlineStr">
        <is>
          <t>Inbound Logistics</t>
        </is>
      </c>
    </row>
    <row r="5">
      <c r="A5" s="4" t="inlineStr">
        <is>
          <t>Description</t>
        </is>
      </c>
      <c r="B5" s="4" t="inlineStr">
        <is>
          <t>Type</t>
        </is>
      </c>
      <c r="C5" s="4" t="inlineStr">
        <is>
          <t>Carrier</t>
        </is>
      </c>
      <c r="D5" s="4" t="inlineStr">
        <is>
          <t>Origin</t>
        </is>
      </c>
      <c r="E5" s="4" t="inlineStr">
        <is>
          <t>Destination</t>
        </is>
      </c>
      <c r="F5" s="4" t="inlineStr">
        <is>
          <t>Cost ($)</t>
        </is>
      </c>
      <c r="G5" s="4" t="inlineStr">
        <is>
          <t>Cost/Unit</t>
        </is>
      </c>
    </row>
    <row r="6">
      <c r="A6" s="5" t="inlineStr">
        <is>
          <t>Sea Freight (20ft)</t>
        </is>
      </c>
      <c r="B6" s="5" t="inlineStr">
        <is>
          <t>Sea</t>
        </is>
      </c>
      <c r="C6" s="5" t="inlineStr">
        <is>
          <t>Carrier A</t>
        </is>
      </c>
      <c r="D6" s="5" t="inlineStr">
        <is>
          <t>Shanghai</t>
        </is>
      </c>
      <c r="E6" s="5" t="inlineStr">
        <is>
          <t>Los Angeles</t>
        </is>
      </c>
      <c r="F6" s="6" t="n">
        <v>2500</v>
      </c>
      <c r="G6" s="6">
        <f>F6/100</f>
        <v/>
      </c>
    </row>
    <row r="7">
      <c r="A7" s="5" t="inlineStr">
        <is>
          <t>Air Freight</t>
        </is>
      </c>
      <c r="B7" s="5" t="inlineStr">
        <is>
          <t>Air</t>
        </is>
      </c>
      <c r="C7" s="5" t="inlineStr">
        <is>
          <t>Carrier B</t>
        </is>
      </c>
      <c r="D7" s="5" t="inlineStr">
        <is>
          <t>Hong Kong</t>
        </is>
      </c>
      <c r="E7" s="5" t="inlineStr">
        <is>
          <t>New York</t>
        </is>
      </c>
      <c r="F7" s="6" t="n">
        <v>4500</v>
      </c>
      <c r="G7" s="6">
        <f>F7/100</f>
        <v/>
      </c>
    </row>
    <row r="8">
      <c r="A8" s="5" t="inlineStr">
        <is>
          <t>Trucking - Local</t>
        </is>
      </c>
      <c r="B8" s="5" t="inlineStr">
        <is>
          <t>Road</t>
        </is>
      </c>
      <c r="C8" s="5" t="inlineStr">
        <is>
          <t>Carrier C</t>
        </is>
      </c>
      <c r="D8" s="5" t="inlineStr">
        <is>
          <t>Warehouse</t>
        </is>
      </c>
      <c r="E8" s="5" t="inlineStr">
        <is>
          <t>Factory</t>
        </is>
      </c>
      <c r="F8" s="6" t="n">
        <v>350</v>
      </c>
      <c r="G8" s="6">
        <f>F8/100</f>
        <v/>
      </c>
    </row>
    <row r="9">
      <c r="A9" s="5" t="inlineStr">
        <is>
          <t>Customs &amp; Duties</t>
        </is>
      </c>
      <c r="B9" s="5" t="inlineStr">
        <is>
          <t>Other</t>
        </is>
      </c>
      <c r="C9" s="5" t="inlineStr">
        <is>
          <t>-</t>
        </is>
      </c>
      <c r="D9" s="5" t="inlineStr">
        <is>
          <t>Port</t>
        </is>
      </c>
      <c r="E9" s="5" t="inlineStr">
        <is>
          <t>Warehouse</t>
        </is>
      </c>
      <c r="F9" s="6" t="n">
        <v>800</v>
      </c>
      <c r="G9" s="6">
        <f>F9/100</f>
        <v/>
      </c>
    </row>
    <row r="15">
      <c r="A15" s="15" t="inlineStr">
        <is>
          <t>Outbound Logistics</t>
        </is>
      </c>
    </row>
    <row r="17">
      <c r="A17" s="4" t="inlineStr">
        <is>
          <t>Description</t>
        </is>
      </c>
      <c r="B17" s="4" t="inlineStr">
        <is>
          <t>Type</t>
        </is>
      </c>
      <c r="C17" s="4" t="inlineStr">
        <is>
          <t>Carrier</t>
        </is>
      </c>
      <c r="D17" s="4" t="inlineStr">
        <is>
          <t>Origin</t>
        </is>
      </c>
      <c r="E17" s="4" t="inlineStr">
        <is>
          <t>Destination</t>
        </is>
      </c>
      <c r="F17" s="4" t="inlineStr">
        <is>
          <t>Cost ($)</t>
        </is>
      </c>
      <c r="G17" s="4" t="inlineStr">
        <is>
          <t>Cost/Unit</t>
        </is>
      </c>
    </row>
    <row r="19">
      <c r="A19" s="5" t="inlineStr">
        <is>
          <t>Domestic Shipping</t>
        </is>
      </c>
      <c r="B19" s="5" t="inlineStr">
        <is>
          <t>Road</t>
        </is>
      </c>
      <c r="C19" s="5" t="inlineStr">
        <is>
          <t>Carrier D</t>
        </is>
      </c>
      <c r="D19" s="5" t="inlineStr">
        <is>
          <t>Factory</t>
        </is>
      </c>
      <c r="E19" s="5" t="inlineStr">
        <is>
          <t>Customer</t>
        </is>
      </c>
      <c r="F19" s="6" t="n">
        <v>150</v>
      </c>
      <c r="G19" s="6">
        <f>F19/100</f>
        <v/>
      </c>
    </row>
    <row r="20">
      <c r="A20" s="5" t="inlineStr">
        <is>
          <t>International Air</t>
        </is>
      </c>
      <c r="B20" s="5" t="inlineStr">
        <is>
          <t>Air</t>
        </is>
      </c>
      <c r="C20" s="5" t="inlineStr">
        <is>
          <t>Carrier B</t>
        </is>
      </c>
      <c r="D20" s="5" t="inlineStr">
        <is>
          <t>Factory</t>
        </is>
      </c>
      <c r="E20" s="5" t="inlineStr">
        <is>
          <t>Customer</t>
        </is>
      </c>
      <c r="F20" s="6" t="n">
        <v>3200</v>
      </c>
      <c r="G20" s="6">
        <f>F20/100</f>
        <v/>
      </c>
    </row>
    <row r="26">
      <c r="A26" s="3" t="inlineStr">
        <is>
          <t>LOGISTICS SUMMARY</t>
        </is>
      </c>
    </row>
    <row r="28">
      <c r="A28" t="inlineStr">
        <is>
          <t>Total Inbound Costs</t>
        </is>
      </c>
      <c r="B28">
        <f>SUM(F6:F14)</f>
        <v/>
      </c>
    </row>
    <row r="29">
      <c r="A29" t="inlineStr">
        <is>
          <t>Total Outbound Costs</t>
        </is>
      </c>
      <c r="B29">
        <f>SUM(F19:F25)</f>
        <v/>
      </c>
    </row>
    <row r="30">
      <c r="A30" t="inlineStr">
        <is>
          <t>Total Logistics Cost</t>
        </is>
      </c>
      <c r="B30" s="13">
        <f>B28+B29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COST SUMMARY</t>
        </is>
      </c>
    </row>
    <row r="3">
      <c r="A3" s="4" t="inlineStr">
        <is>
          <t>Product</t>
        </is>
      </c>
      <c r="B3" s="4" t="inlineStr">
        <is>
          <t>Materials</t>
        </is>
      </c>
      <c r="C3" s="4" t="inlineStr">
        <is>
          <t>Labor</t>
        </is>
      </c>
      <c r="D3" s="4" t="inlineStr">
        <is>
          <t>Overhead</t>
        </is>
      </c>
      <c r="E3" s="4" t="inlineStr">
        <is>
          <t>Logistics</t>
        </is>
      </c>
      <c r="F3" s="4" t="inlineStr">
        <is>
          <t>Total Cost</t>
        </is>
      </c>
      <c r="G3" s="4" t="inlineStr">
        <is>
          <t>Margin %</t>
        </is>
      </c>
    </row>
    <row r="5">
      <c r="A5" s="5" t="inlineStr">
        <is>
          <t>Product A</t>
        </is>
      </c>
      <c r="B5">
        <f>'Material Costs'!B31</f>
        <v/>
      </c>
      <c r="C5">
        <f>'Labor Costs'!$B$21</f>
        <v/>
      </c>
      <c r="D5">
        <f>'Overhead Costs'!$B$21</f>
        <v/>
      </c>
      <c r="E5">
        <f>'Logistics Costs'!$B$30</f>
        <v/>
      </c>
      <c r="F5" s="11">
        <f>SUM(B5:E5)</f>
        <v/>
      </c>
      <c r="G5" s="16" t="n">
        <v>0.25</v>
      </c>
    </row>
    <row r="6">
      <c r="A6" s="5" t="inlineStr">
        <is>
          <t>Product B</t>
        </is>
      </c>
      <c r="B6">
        <f>'Material Costs'!B32</f>
        <v/>
      </c>
      <c r="C6">
        <f>'Labor Costs'!$B$21</f>
        <v/>
      </c>
      <c r="D6">
        <f>'Overhead Costs'!$B$21</f>
        <v/>
      </c>
      <c r="E6">
        <f>'Logistics Costs'!$B$30</f>
        <v/>
      </c>
      <c r="F6" s="11">
        <f>SUM(B6:E6)</f>
        <v/>
      </c>
      <c r="G6" s="16" t="n">
        <v>0.25</v>
      </c>
    </row>
    <row r="7">
      <c r="A7" s="5" t="inlineStr">
        <is>
          <t>Product C</t>
        </is>
      </c>
      <c r="B7">
        <f>'Material Costs'!B32</f>
        <v/>
      </c>
      <c r="C7">
        <f>'Labor Costs'!$B$21</f>
        <v/>
      </c>
      <c r="D7">
        <f>'Overhead Costs'!$B$21</f>
        <v/>
      </c>
      <c r="E7">
        <f>'Logistics Costs'!$B$30</f>
        <v/>
      </c>
      <c r="F7" s="11">
        <f>SUM(B7:E7)</f>
        <v/>
      </c>
      <c r="G7" s="16" t="n">
        <v>0.25</v>
      </c>
    </row>
    <row r="9">
      <c r="A9" s="3" t="inlineStr">
        <is>
          <t>PRICING RECOMMENDATIONS</t>
        </is>
      </c>
    </row>
    <row r="10">
      <c r="A10" t="inlineStr">
        <is>
          <t>Markup Percentage:</t>
        </is>
      </c>
      <c r="B10" t="n">
        <v>0.4</v>
      </c>
    </row>
    <row r="11">
      <c r="A11" t="inlineStr">
        <is>
          <t>Product</t>
        </is>
      </c>
      <c r="B11" t="inlineStr">
        <is>
          <t>Total Cost</t>
        </is>
      </c>
      <c r="C11" t="inlineStr">
        <is>
          <t>Markup ($)</t>
        </is>
      </c>
      <c r="D11" t="inlineStr">
        <is>
          <t>Suggested Price</t>
        </is>
      </c>
    </row>
    <row r="12">
      <c r="A12" t="inlineStr">
        <is>
          <t>Product A</t>
        </is>
      </c>
      <c r="B12">
        <f>F5</f>
        <v/>
      </c>
      <c r="C12">
        <f>B12*$B$10</f>
        <v/>
      </c>
      <c r="D12" s="17">
        <f>B12+C12</f>
        <v/>
      </c>
    </row>
    <row r="13">
      <c r="A13" t="inlineStr">
        <is>
          <t>Product B</t>
        </is>
      </c>
      <c r="B13">
        <f>F6</f>
        <v/>
      </c>
      <c r="C13">
        <f>B13*$B$10</f>
        <v/>
      </c>
      <c r="D13" s="17">
        <f>B13+C13</f>
        <v/>
      </c>
    </row>
    <row r="14">
      <c r="A14" t="inlineStr">
        <is>
          <t>Product C</t>
        </is>
      </c>
      <c r="B14">
        <f>F7</f>
        <v/>
      </c>
      <c r="C14">
        <f>B14*$B$10</f>
        <v/>
      </c>
      <c r="D14" s="17">
        <f>B14+C14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COST HISTORY ANALYSIS</t>
        </is>
      </c>
    </row>
    <row r="3">
      <c r="A3" s="15" t="inlineStr">
        <is>
          <t>Monthly Cost Tracking</t>
        </is>
      </c>
    </row>
    <row r="5">
      <c r="A5" s="4" t="inlineStr">
        <is>
          <t>Period</t>
        </is>
      </c>
      <c r="B5" s="4" t="inlineStr">
        <is>
          <t>Materials</t>
        </is>
      </c>
      <c r="C5" s="4" t="inlineStr">
        <is>
          <t>Labor</t>
        </is>
      </c>
      <c r="D5" s="4" t="inlineStr">
        <is>
          <t>Overhead</t>
        </is>
      </c>
      <c r="E5" s="4" t="inlineStr">
        <is>
          <t>Logistics</t>
        </is>
      </c>
      <c r="F5" s="4" t="inlineStr">
        <is>
          <t>Total</t>
        </is>
      </c>
    </row>
    <row r="6">
      <c r="A6" s="5" t="inlineStr">
        <is>
          <t>2025-01</t>
        </is>
      </c>
      <c r="B6" s="6" t="n">
        <v>0</v>
      </c>
      <c r="C6" s="6" t="n">
        <v>0</v>
      </c>
      <c r="D6" s="6" t="n">
        <v>0</v>
      </c>
      <c r="E6" s="6" t="n">
        <v>0</v>
      </c>
    </row>
    <row r="7">
      <c r="A7" s="5" t="inlineStr">
        <is>
          <t>2025-02</t>
        </is>
      </c>
      <c r="B7" s="6" t="n">
        <v>0</v>
      </c>
      <c r="C7" s="6" t="n">
        <v>0</v>
      </c>
      <c r="D7" s="6" t="n">
        <v>0</v>
      </c>
      <c r="E7" s="6" t="n">
        <v>0</v>
      </c>
    </row>
    <row r="8">
      <c r="A8" s="5" t="inlineStr">
        <is>
          <t>2025-03</t>
        </is>
      </c>
      <c r="B8" s="6" t="n">
        <v>0</v>
      </c>
      <c r="C8" s="6" t="n">
        <v>0</v>
      </c>
      <c r="D8" s="6" t="n">
        <v>0</v>
      </c>
      <c r="E8" s="6" t="n">
        <v>0</v>
      </c>
    </row>
    <row r="9">
      <c r="A9" s="5" t="inlineStr">
        <is>
          <t>2025-04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>
      <c r="A10" s="5" t="inlineStr">
        <is>
          <t>2025-05</t>
        </is>
      </c>
      <c r="B10" s="6" t="n">
        <v>0</v>
      </c>
      <c r="C10" s="6" t="n">
        <v>0</v>
      </c>
      <c r="D10" s="6" t="n">
        <v>0</v>
      </c>
      <c r="E10" s="6" t="n">
        <v>0</v>
      </c>
    </row>
    <row r="11">
      <c r="A11" s="5" t="inlineStr">
        <is>
          <t>2025-06</t>
        </is>
      </c>
      <c r="B11" s="6" t="n">
        <v>0</v>
      </c>
      <c r="C11" s="6" t="n">
        <v>0</v>
      </c>
      <c r="D11" s="6" t="n">
        <v>0</v>
      </c>
      <c r="E11" s="6" t="n">
        <v>0</v>
      </c>
    </row>
    <row r="12">
      <c r="A12" s="5" t="inlineStr">
        <is>
          <t>2025-07</t>
        </is>
      </c>
      <c r="B12" s="6" t="n">
        <v>0</v>
      </c>
      <c r="C12" s="6" t="n">
        <v>0</v>
      </c>
      <c r="D12" s="6" t="n">
        <v>0</v>
      </c>
      <c r="E12" s="6" t="n">
        <v>0</v>
      </c>
    </row>
    <row r="13">
      <c r="A13" s="5" t="inlineStr">
        <is>
          <t>2025-08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>
      <c r="A14" s="5" t="inlineStr">
        <is>
          <t>2025-09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>
      <c r="A15" s="5" t="inlineStr">
        <is>
          <t>2025-10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>
      <c r="A16" s="5" t="inlineStr">
        <is>
          <t>2025-11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5" t="inlineStr">
        <is>
          <t>2025-12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>
      <c r="A18" s="18" t="inlineStr">
        <is>
          <t>TOTAL</t>
        </is>
      </c>
      <c r="B18" s="19">
        <f>SUM(B6:B17)</f>
        <v/>
      </c>
      <c r="C18" s="19">
        <f>SUM(C6:C17)</f>
        <v/>
      </c>
      <c r="D18" s="19">
        <f>SUM(D6:D17)</f>
        <v/>
      </c>
      <c r="E18" s="19">
        <f>SUM(E6:E17)</f>
        <v/>
      </c>
      <c r="F18" s="19">
        <f>SUM(F6:F17)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QUOTATION GENERATOR</t>
        </is>
      </c>
    </row>
    <row r="3">
      <c r="A3" t="inlineStr">
        <is>
          <t>Quotation Number:</t>
        </is>
      </c>
      <c r="B3">
        <f>"QT-"&amp;TEXT(TODAY(),"YYYYMMDD")&amp;"-"&amp;TEXT(COUNTIF('Quotation History'!A:A,"*")+1,"000")</f>
        <v/>
      </c>
      <c r="K3" t="inlineStr">
        <is>
          <t>Date:</t>
        </is>
      </c>
      <c r="L3" t="inlineStr">
        <is>
          <t>2026-01-19</t>
        </is>
      </c>
    </row>
    <row r="4">
      <c r="A4" t="inlineStr">
        <is>
          <t>Valid Until:</t>
        </is>
      </c>
      <c r="B4">
        <f>EDATE(L3,1)</f>
        <v/>
      </c>
      <c r="K4" t="inlineStr">
        <is>
          <t>Salesperson:</t>
        </is>
      </c>
      <c r="L4" t="inlineStr"/>
    </row>
    <row r="6">
      <c r="A6" s="3" t="inlineStr">
        <is>
          <t>CUSTOMER INFORMATION</t>
        </is>
      </c>
    </row>
    <row r="7">
      <c r="A7" t="inlineStr">
        <is>
          <t>Customer Name:</t>
        </is>
      </c>
      <c r="B7" t="inlineStr"/>
    </row>
    <row r="8">
      <c r="A8" t="inlineStr">
        <is>
          <t>Contact Person:</t>
        </is>
      </c>
      <c r="B8" t="inlineStr"/>
      <c r="C8" t="inlineStr">
        <is>
          <t>Email:</t>
        </is>
      </c>
      <c r="D8" t="inlineStr"/>
    </row>
    <row r="9">
      <c r="A9" t="inlineStr">
        <is>
          <t>Billing Address:</t>
        </is>
      </c>
      <c r="B9" t="inlineStr"/>
    </row>
    <row r="10">
      <c r="A10" t="inlineStr">
        <is>
          <t>Shipping Address:</t>
        </is>
      </c>
      <c r="B10" t="inlineStr"/>
    </row>
    <row r="11">
      <c r="A11" t="inlineStr">
        <is>
          <t>Payment Terms:</t>
        </is>
      </c>
      <c r="B11" t="inlineStr"/>
    </row>
    <row r="14">
      <c r="A14" s="3" t="inlineStr">
        <is>
          <t>PRODUCT DETAILS</t>
        </is>
      </c>
    </row>
    <row r="16">
      <c r="A16" s="4" t="inlineStr">
        <is>
          <t>Product Code</t>
        </is>
      </c>
      <c r="B16" s="4" t="inlineStr">
        <is>
          <t>Description</t>
        </is>
      </c>
      <c r="C16" s="4" t="inlineStr">
        <is>
          <t>Quantity</t>
        </is>
      </c>
      <c r="D16" s="4" t="inlineStr">
        <is>
          <t>Unit Price</t>
        </is>
      </c>
      <c r="E16" s="4" t="inlineStr">
        <is>
          <t>Discount %</t>
        </is>
      </c>
      <c r="F16" s="4" t="inlineStr">
        <is>
          <t>Unit Cost</t>
        </is>
      </c>
      <c r="G16" s="4" t="inlineStr">
        <is>
          <t>Line Total</t>
        </is>
      </c>
      <c r="H16" s="4" t="inlineStr">
        <is>
          <t>Margin %</t>
        </is>
      </c>
      <c r="I16" s="4" t="inlineStr">
        <is>
          <t>Delivery Date</t>
        </is>
      </c>
      <c r="J16" s="4" t="inlineStr">
        <is>
          <t>Notes</t>
        </is>
      </c>
    </row>
    <row r="17">
      <c r="A17" s="5" t="inlineStr">
        <is>
          <t>Product A</t>
        </is>
      </c>
      <c r="B17" s="5" t="inlineStr">
        <is>
          <t>Industrial Component Alpha</t>
        </is>
      </c>
      <c r="C17" s="5" t="n">
        <v>100</v>
      </c>
      <c r="D17" s="6" t="n">
        <v>75</v>
      </c>
      <c r="E17" s="16" t="n">
        <v>0</v>
      </c>
      <c r="F17" s="6" t="n">
        <v>45</v>
      </c>
      <c r="G17" s="6">
        <f>C17*D17*(1-E17)</f>
        <v/>
      </c>
      <c r="H17" s="16" t="n">
        <v>40</v>
      </c>
      <c r="I17" s="5" t="inlineStr"/>
      <c r="J17" s="5" t="inlineStr"/>
    </row>
    <row r="18">
      <c r="A18" s="5" t="inlineStr">
        <is>
          <t>Product B</t>
        </is>
      </c>
      <c r="B18" s="5" t="inlineStr">
        <is>
          <t>Industrial Component Beta</t>
        </is>
      </c>
      <c r="C18" s="5" t="n">
        <v>50</v>
      </c>
      <c r="D18" s="6" t="n">
        <v>120</v>
      </c>
      <c r="E18" s="16" t="n">
        <v>5</v>
      </c>
      <c r="F18" s="6" t="n">
        <v>72</v>
      </c>
      <c r="G18" s="6">
        <f>C18*D18*(1-E18)</f>
        <v/>
      </c>
      <c r="H18" s="16" t="n">
        <v>40</v>
      </c>
      <c r="I18" s="5" t="inlineStr"/>
      <c r="J18" s="5" t="inlineStr"/>
    </row>
    <row r="35">
      <c r="A35" s="3" t="inlineStr">
        <is>
          <t>QUOTATION SUMMARY</t>
        </is>
      </c>
    </row>
    <row r="37">
      <c r="A37" t="inlineStr">
        <is>
          <t>Subtotal:</t>
        </is>
      </c>
      <c r="B37" s="14">
        <f>SUM(G17:G30)</f>
        <v/>
      </c>
    </row>
    <row r="38">
      <c r="A38" t="inlineStr">
        <is>
          <t>Discount Amount:</t>
        </is>
      </c>
      <c r="B38" s="20">
        <f>SUMPRODUCT(C17:C30,D17:D30,E17:E30)</f>
        <v/>
      </c>
    </row>
    <row r="39">
      <c r="A39" t="inlineStr">
        <is>
          <t>Shipping &amp; Handling:</t>
        </is>
      </c>
      <c r="B39" s="20" t="n">
        <v>0</v>
      </c>
    </row>
    <row r="40">
      <c r="A40" t="inlineStr">
        <is>
          <t>Tax (8.25%):</t>
        </is>
      </c>
      <c r="B40" s="20">
        <f>(B37-B38+B39)*0.0825</f>
        <v/>
      </c>
    </row>
    <row r="41">
      <c r="A41" t="inlineStr">
        <is>
          <t>GRAND TOTAL:</t>
        </is>
      </c>
      <c r="B41" s="21">
        <f>B37-B38+B39+B40</f>
        <v/>
      </c>
    </row>
    <row r="42">
      <c r="A42" t="inlineStr">
        <is>
          <t>Overall Margin:</t>
        </is>
      </c>
      <c r="B42" s="22">
        <f>(B41-SUMPRODUCT(C17:C30,F17:F30))/B41</f>
        <v/>
      </c>
    </row>
    <row r="44">
      <c r="A44" s="18" t="inlineStr">
        <is>
          <t>Notes:</t>
        </is>
      </c>
    </row>
    <row r="45">
      <c r="A45" t="inlineStr">
        <is>
          <t>• Prices valid for 30 days from quotation date</t>
        </is>
      </c>
    </row>
    <row r="46">
      <c r="A46" t="inlineStr">
        <is>
          <t>• Standard payment terms: Net 30</t>
        </is>
      </c>
    </row>
    <row r="47">
      <c r="A47" t="inlineStr">
        <is>
          <t>• Lead time: 2-3 weeks after order confirmation</t>
        </is>
      </c>
    </row>
    <row r="48">
      <c r="A48" t="inlineStr">
        <is>
          <t>• Shipping FOB Origin</t>
        </is>
      </c>
    </row>
  </sheetData>
  <mergeCells count="1">
    <mergeCell ref="A1:L1"/>
  </mergeCells>
  <dataValidations count="2">
    <dataValidation sqref="B7" showDropDown="0" showInputMessage="0" showErrorMessage="0" allowBlank="0" type="list">
      <formula1>"Acme Corporation,Global Industries,Pacific Trading,Mountain Supply,Urban Solutions"</formula1>
    </dataValidation>
    <dataValidation sqref="A17:A30" showDropDown="0" showInputMessage="0" showErrorMessage="0" allowBlank="0" type="list">
      <formula1>"Product A,Product B,Product C"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CUSTOMER DATABASE</t>
        </is>
      </c>
    </row>
    <row r="3">
      <c r="A3" s="4" t="inlineStr">
        <is>
          <t>Customer Code</t>
        </is>
      </c>
      <c r="B3" s="4" t="inlineStr">
        <is>
          <t>Company Name</t>
        </is>
      </c>
      <c r="C3" s="4" t="inlineStr">
        <is>
          <t>Contact Person</t>
        </is>
      </c>
      <c r="D3" s="4" t="inlineStr">
        <is>
          <t>Email</t>
        </is>
      </c>
      <c r="E3" s="4" t="inlineStr">
        <is>
          <t>Phone</t>
        </is>
      </c>
      <c r="F3" s="4" t="inlineStr">
        <is>
          <t>Billing Address</t>
        </is>
      </c>
      <c r="G3" s="4" t="inlineStr">
        <is>
          <t>Payment Terms</t>
        </is>
      </c>
      <c r="H3" s="4" t="inlineStr">
        <is>
          <t>Credit Limit</t>
        </is>
      </c>
      <c r="I3" s="4" t="inlineStr">
        <is>
          <t>Discount %</t>
        </is>
      </c>
      <c r="J3" s="4" t="inlineStr">
        <is>
          <t>Customer Since</t>
        </is>
      </c>
    </row>
    <row r="5">
      <c r="A5" s="5" t="inlineStr">
        <is>
          <t>CUST001</t>
        </is>
      </c>
      <c r="B5" s="5" t="inlineStr">
        <is>
          <t>Acme Corporation</t>
        </is>
      </c>
      <c r="C5" s="5" t="inlineStr">
        <is>
          <t>John Smith</t>
        </is>
      </c>
      <c r="D5" s="5" t="inlineStr">
        <is>
          <t>jsmith@acme.com</t>
        </is>
      </c>
      <c r="E5" s="5" t="inlineStr">
        <is>
          <t>555-0101</t>
        </is>
      </c>
      <c r="F5" s="5" t="inlineStr">
        <is>
          <t>123 Business Ave, New York, NY 10001</t>
        </is>
      </c>
      <c r="G5" s="5" t="inlineStr">
        <is>
          <t>Net 30</t>
        </is>
      </c>
      <c r="H5" s="23" t="n">
        <v>50000</v>
      </c>
      <c r="I5" s="16" t="n">
        <v>0</v>
      </c>
      <c r="J5" s="5" t="inlineStr">
        <is>
          <t>2020-03-15</t>
        </is>
      </c>
    </row>
    <row r="6">
      <c r="A6" s="5" t="inlineStr">
        <is>
          <t>CUST002</t>
        </is>
      </c>
      <c r="B6" s="5" t="inlineStr">
        <is>
          <t>Global Industries</t>
        </is>
      </c>
      <c r="C6" s="5" t="inlineStr">
        <is>
          <t>Mary Johnson</t>
        </is>
      </c>
      <c r="D6" s="5" t="inlineStr">
        <is>
          <t>mjohnson@global.com</t>
        </is>
      </c>
      <c r="E6" s="5" t="inlineStr">
        <is>
          <t>555-0102</t>
        </is>
      </c>
      <c r="F6" s="5" t="inlineStr">
        <is>
          <t>456 Commerce St, Chicago, IL 60601</t>
        </is>
      </c>
      <c r="G6" s="5" t="inlineStr">
        <is>
          <t>Net 45</t>
        </is>
      </c>
      <c r="H6" s="23" t="n">
        <v>75000</v>
      </c>
      <c r="I6" s="16" t="n">
        <v>5</v>
      </c>
      <c r="J6" s="5" t="inlineStr">
        <is>
          <t>2019-08-22</t>
        </is>
      </c>
    </row>
    <row r="7">
      <c r="A7" s="5" t="inlineStr">
        <is>
          <t>CUST003</t>
        </is>
      </c>
      <c r="B7" s="5" t="inlineStr">
        <is>
          <t>Pacific Trading</t>
        </is>
      </c>
      <c r="C7" s="5" t="inlineStr">
        <is>
          <t>David Lee</t>
        </is>
      </c>
      <c r="D7" s="5" t="inlineStr">
        <is>
          <t>dlee@pacific.com</t>
        </is>
      </c>
      <c r="E7" s="5" t="inlineStr">
        <is>
          <t>555-0103</t>
        </is>
      </c>
      <c r="F7" s="5" t="inlineStr">
        <is>
          <t>789 Harbor Blvd, San Francisco, CA 94102</t>
        </is>
      </c>
      <c r="G7" s="5" t="inlineStr">
        <is>
          <t>Net 30</t>
        </is>
      </c>
      <c r="H7" s="23" t="n">
        <v>60000</v>
      </c>
      <c r="I7" s="16" t="n">
        <v>0</v>
      </c>
      <c r="J7" s="5" t="inlineStr">
        <is>
          <t>2021-01-10</t>
        </is>
      </c>
    </row>
    <row r="8">
      <c r="A8" s="5" t="inlineStr">
        <is>
          <t>CUST004</t>
        </is>
      </c>
      <c r="B8" s="5" t="inlineStr">
        <is>
          <t>Mountain Supply</t>
        </is>
      </c>
      <c r="C8" s="5" t="inlineStr">
        <is>
          <t>Sarah Davis</t>
        </is>
      </c>
      <c r="D8" s="5" t="inlineStr">
        <is>
          <t>sdavis@mountain.com</t>
        </is>
      </c>
      <c r="E8" s="5" t="inlineStr">
        <is>
          <t>555-0104</t>
        </is>
      </c>
      <c r="F8" s="5" t="inlineStr">
        <is>
          <t>321 Alpine Way, Denver, CO 80202</t>
        </is>
      </c>
      <c r="G8" s="5" t="inlineStr">
        <is>
          <t>Net 30</t>
        </is>
      </c>
      <c r="H8" s="23" t="n">
        <v>40000</v>
      </c>
      <c r="I8" s="16" t="n">
        <v>2</v>
      </c>
      <c r="J8" s="5" t="inlineStr">
        <is>
          <t>2020-11-05</t>
        </is>
      </c>
    </row>
    <row r="9">
      <c r="A9" s="5" t="inlineStr">
        <is>
          <t>CUST005</t>
        </is>
      </c>
      <c r="B9" s="5" t="inlineStr">
        <is>
          <t>Urban Solutions</t>
        </is>
      </c>
      <c r="C9" s="5" t="inlineStr">
        <is>
          <t>Michael Brown</t>
        </is>
      </c>
      <c r="D9" s="5" t="inlineStr">
        <is>
          <t>mbrown@urban.com</t>
        </is>
      </c>
      <c r="E9" s="5" t="inlineStr">
        <is>
          <t>555-0105</t>
        </is>
      </c>
      <c r="F9" s="5" t="inlineStr">
        <is>
          <t>654 Metro Drive, Los Angeles, CA 90001</t>
        </is>
      </c>
      <c r="G9" s="5" t="inlineStr">
        <is>
          <t>Net 45</t>
        </is>
      </c>
      <c r="H9" s="23" t="n">
        <v>100000</v>
      </c>
      <c r="I9" s="16" t="n">
        <v>10</v>
      </c>
      <c r="J9" s="5" t="inlineStr">
        <is>
          <t>2018-06-18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PRODUCT DATABASE</t>
        </is>
      </c>
    </row>
    <row r="3">
      <c r="A3" s="4" t="inlineStr">
        <is>
          <t>Product Code</t>
        </is>
      </c>
      <c r="B3" s="4" t="inlineStr">
        <is>
          <t>Product Name</t>
        </is>
      </c>
      <c r="C3" s="4" t="inlineStr">
        <is>
          <t>Category</t>
        </is>
      </c>
      <c r="D3" s="4" t="inlineStr">
        <is>
          <t>Description</t>
        </is>
      </c>
      <c r="E3" s="4" t="inlineStr">
        <is>
          <t>Unit of Measure</t>
        </is>
      </c>
      <c r="F3" s="4" t="inlineStr">
        <is>
          <t>Min Order Qty</t>
        </is>
      </c>
      <c r="G3" s="4" t="inlineStr">
        <is>
          <t>Lead Time (days)</t>
        </is>
      </c>
      <c r="H3" s="4" t="inlineStr">
        <is>
          <t>Standard Cost</t>
        </is>
      </c>
      <c r="I3" s="4" t="inlineStr">
        <is>
          <t>Standard Price</t>
        </is>
      </c>
      <c r="J3" s="4" t="inlineStr">
        <is>
          <t>Volume Tier 1</t>
        </is>
      </c>
      <c r="K3" s="4" t="inlineStr">
        <is>
          <t>Volume Tier 2</t>
        </is>
      </c>
    </row>
    <row r="5">
      <c r="A5" s="5" t="inlineStr">
        <is>
          <t>PROD-A</t>
        </is>
      </c>
      <c r="B5" s="5" t="inlineStr">
        <is>
          <t>Industrial Component Alpha</t>
        </is>
      </c>
      <c r="C5" s="5" t="inlineStr">
        <is>
          <t>Components</t>
        </is>
      </c>
      <c r="D5" s="5" t="inlineStr">
        <is>
          <t>High-grade industrial component</t>
        </is>
      </c>
      <c r="E5" s="5" t="inlineStr">
        <is>
          <t>pcs</t>
        </is>
      </c>
      <c r="F5" s="24" t="n">
        <v>50</v>
      </c>
      <c r="G5" s="24" t="n">
        <v>14</v>
      </c>
      <c r="H5" s="6" t="n">
        <v>45</v>
      </c>
      <c r="I5" s="6" t="n">
        <v>75</v>
      </c>
      <c r="J5" s="6" t="n">
        <v>70</v>
      </c>
      <c r="K5" s="6" t="n">
        <v>65</v>
      </c>
    </row>
    <row r="6">
      <c r="A6" s="5" t="inlineStr">
        <is>
          <t>PROD-B</t>
        </is>
      </c>
      <c r="B6" s="5" t="inlineStr">
        <is>
          <t>Industrial Component Beta</t>
        </is>
      </c>
      <c r="C6" s="5" t="inlineStr">
        <is>
          <t>Components</t>
        </is>
      </c>
      <c r="D6" s="5" t="inlineStr">
        <is>
          <t>Standard industrial component</t>
        </is>
      </c>
      <c r="E6" s="5" t="inlineStr">
        <is>
          <t>pcs</t>
        </is>
      </c>
      <c r="F6" s="24" t="n">
        <v>25</v>
      </c>
      <c r="G6" s="24" t="n">
        <v>10</v>
      </c>
      <c r="H6" s="6" t="n">
        <v>72</v>
      </c>
      <c r="I6" s="6" t="n">
        <v>120</v>
      </c>
      <c r="J6" s="6" t="n">
        <v>115</v>
      </c>
      <c r="K6" s="6" t="n">
        <v>108</v>
      </c>
    </row>
    <row r="7">
      <c r="A7" s="5" t="inlineStr">
        <is>
          <t>PROD-C</t>
        </is>
      </c>
      <c r="B7" s="5" t="inlineStr">
        <is>
          <t>Raw Material Gamma</t>
        </is>
      </c>
      <c r="C7" s="5" t="inlineStr">
        <is>
          <t>Raw Materials</t>
        </is>
      </c>
      <c r="D7" s="5" t="inlineStr">
        <is>
          <t>Premium raw material</t>
        </is>
      </c>
      <c r="E7" s="5" t="inlineStr">
        <is>
          <t>kg</t>
        </is>
      </c>
      <c r="F7" s="24" t="n">
        <v>100</v>
      </c>
      <c r="G7" s="24" t="n">
        <v>21</v>
      </c>
      <c r="H7" s="6" t="n">
        <v>25</v>
      </c>
      <c r="I7" s="6" t="n">
        <v>42</v>
      </c>
      <c r="J7" s="6" t="n">
        <v>40</v>
      </c>
      <c r="K7" s="6" t="n">
        <v>38</v>
      </c>
    </row>
    <row r="8">
      <c r="A8" s="5" t="inlineStr">
        <is>
          <t>PROD-D</t>
        </is>
      </c>
      <c r="B8" s="5" t="inlineStr">
        <is>
          <t>Packaging Set Delta</t>
        </is>
      </c>
      <c r="C8" s="5" t="inlineStr">
        <is>
          <t>Packaging</t>
        </is>
      </c>
      <c r="D8" s="5" t="inlineStr">
        <is>
          <t>Complete packaging solution</t>
        </is>
      </c>
      <c r="E8" s="5" t="inlineStr">
        <is>
          <t>set</t>
        </is>
      </c>
      <c r="F8" s="24" t="n">
        <v>200</v>
      </c>
      <c r="G8" s="24" t="n">
        <v>7</v>
      </c>
      <c r="H8" s="6" t="n">
        <v>8</v>
      </c>
      <c r="I8" s="6" t="n">
        <v>15</v>
      </c>
      <c r="J8" s="6" t="n">
        <v>14</v>
      </c>
      <c r="K8" s="6" t="n">
        <v>13</v>
      </c>
    </row>
    <row r="9">
      <c r="A9" s="5" t="inlineStr">
        <is>
          <t>PROD-E</t>
        </is>
      </c>
      <c r="B9" s="5" t="inlineStr">
        <is>
          <t>Assembly Kit Epsilon</t>
        </is>
      </c>
      <c r="C9" s="5" t="inlineStr">
        <is>
          <t>Kits</t>
        </is>
      </c>
      <c r="D9" s="5" t="inlineStr">
        <is>
          <t>Pre-assembled component kit</t>
        </is>
      </c>
      <c r="E9" s="5" t="inlineStr">
        <is>
          <t>kit</t>
        </is>
      </c>
      <c r="F9" s="24" t="n">
        <v>10</v>
      </c>
      <c r="G9" s="24" t="n">
        <v>21</v>
      </c>
      <c r="H9" s="6" t="n">
        <v>180</v>
      </c>
      <c r="I9" s="6" t="n">
        <v>300</v>
      </c>
      <c r="J9" s="6" t="n">
        <v>285</v>
      </c>
      <c r="K9" s="6" t="n">
        <v>270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QUOTATION SUMMARY</t>
        </is>
      </c>
    </row>
    <row r="3">
      <c r="A3" s="25" t="inlineStr">
        <is>
          <t>This sheet provides a quick overview of the current quotation.</t>
        </is>
      </c>
    </row>
    <row r="5">
      <c r="A5" t="inlineStr">
        <is>
          <t>Quotation #:</t>
        </is>
      </c>
      <c r="B5">
        <f>IF(Quote Input!B3&lt;&gt;"",Quote Input!B3,"Not Generated")</f>
        <v/>
      </c>
    </row>
    <row r="6">
      <c r="A6" t="inlineStr">
        <is>
          <t>Customer:</t>
        </is>
      </c>
      <c r="B6">
        <f>IF(Quote Input!B7&lt;&gt;"",Quote Input!B7,"Not Selected")</f>
        <v/>
      </c>
    </row>
    <row r="7">
      <c r="A7" t="inlineStr">
        <is>
          <t>Total Items:</t>
        </is>
      </c>
      <c r="B7">
        <f>COUNTIF(Quote Input!A17:A30,"&lt;&gt;")</f>
        <v/>
      </c>
    </row>
    <row r="8">
      <c r="A8" t="inlineStr">
        <is>
          <t>Total Quantity:</t>
        </is>
      </c>
      <c r="B8">
        <f>SUM(Quote Input!C17:C30)</f>
        <v/>
      </c>
    </row>
    <row r="9">
      <c r="A9" t="inlineStr">
        <is>
          <t>Subtotal:</t>
        </is>
      </c>
      <c r="B9" s="20">
        <f>Quote Input!B37</f>
        <v/>
      </c>
    </row>
    <row r="10">
      <c r="A10" t="inlineStr">
        <is>
          <t>Grand Total:</t>
        </is>
      </c>
      <c r="B10" s="13">
        <f>Quote Input!B41</f>
        <v/>
      </c>
    </row>
    <row r="12">
      <c r="A12" s="15" t="inlineStr">
        <is>
          <t>APPROVAL STATUS</t>
        </is>
      </c>
    </row>
    <row r="13">
      <c r="A13" t="inlineStr">
        <is>
          <t>Status:</t>
        </is>
      </c>
      <c r="B13" t="inlineStr">
        <is>
          <t>Draft</t>
        </is>
      </c>
    </row>
    <row r="14">
      <c r="A14" t="inlineStr">
        <is>
          <t>Prepared By:</t>
        </is>
      </c>
      <c r="B14" t="inlineStr"/>
    </row>
    <row r="15">
      <c r="A15" t="inlineStr">
        <is>
          <t>Approved By:</t>
        </is>
      </c>
      <c r="B15" t="inlineStr"/>
    </row>
    <row r="16">
      <c r="A16" t="inlineStr">
        <is>
          <t>Approval Date:</t>
        </is>
      </c>
      <c r="B16" t="inlineStr"/>
    </row>
  </sheetData>
  <mergeCells count="1">
    <mergeCell ref="A1:D1"/>
  </mergeCells>
  <dataValidations count="1">
    <dataValidation sqref="B13" showDropDown="0" showInputMessage="0" showErrorMessage="0" allowBlank="0" type="list">
      <formula1>"Draft,Pending Approval,Approved,Rejected"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QUOTATION</t>
        </is>
      </c>
    </row>
    <row r="2">
      <c r="A2" s="27" t="inlineStr">
        <is>
          <t>YOUR COMPANY NAME</t>
        </is>
      </c>
      <c r="E2" s="28" t="inlineStr">
        <is>
          <t>QUOTATION #</t>
        </is>
      </c>
      <c r="F2" s="5">
        <f>IF(Quote Input!B3&lt;&gt;"",Quote Input!B3,"")</f>
        <v/>
      </c>
    </row>
    <row r="3">
      <c r="A3" t="inlineStr">
        <is>
          <t>123 Business Street</t>
        </is>
      </c>
      <c r="E3" s="28" t="inlineStr">
        <is>
          <t>DATE</t>
        </is>
      </c>
      <c r="F3" s="5">
        <f>IF(Quote Input!L3&lt;&gt;"",Quote Input!L3,TODAY())</f>
        <v/>
      </c>
    </row>
    <row r="4">
      <c r="A4" t="inlineStr">
        <is>
          <t>City, State 12345</t>
        </is>
      </c>
      <c r="E4" s="28" t="inlineStr">
        <is>
          <t>VALID UNTIL</t>
        </is>
      </c>
      <c r="F4" s="5">
        <f>IF(Quote Input!B4&lt;&gt;"",Quote Input!B4,EDATE(TODAY(),1))</f>
        <v/>
      </c>
    </row>
    <row r="5">
      <c r="A5" s="29" t="inlineStr">
        <is>
          <t>Phone: (555) 123-4567 | Email: info@yourcompany.com</t>
        </is>
      </c>
      <c r="E5" s="28" t="inlineStr">
        <is>
          <t>SALESREP</t>
        </is>
      </c>
      <c r="F5" s="5">
        <f>IF(Quote Input!L4&lt;&gt;"",Quote Input!L4,"")</f>
        <v/>
      </c>
    </row>
    <row r="7">
      <c r="A7" s="18" t="inlineStr">
        <is>
          <t>BILL TO:</t>
        </is>
      </c>
      <c r="E7" s="18" t="inlineStr">
        <is>
          <t>SHIP TO:</t>
        </is>
      </c>
    </row>
    <row r="8">
      <c r="A8">
        <f>IF(Quote Input!B7&lt;&gt;"",Quote Input!B7,"Customer Name")</f>
        <v/>
      </c>
      <c r="E8">
        <f>IF(Quote Input!B7&lt;&gt;"",Quote Input!B7,"Customer Name")</f>
        <v/>
      </c>
    </row>
    <row r="9">
      <c r="A9">
        <f>IF(Quote Input!B8&lt;&gt;"",Quote Input!B8,"")</f>
        <v/>
      </c>
      <c r="E9">
        <f>IF(Quote Input!B10&lt;&gt;"",Quote Input!B10,"Shipping Address")</f>
        <v/>
      </c>
    </row>
    <row r="10">
      <c r="A10">
        <f>IF(Quote Input!B9&lt;&gt;"",Quote Input!B9,"Billing Address")</f>
        <v/>
      </c>
    </row>
    <row r="12">
      <c r="A12" s="30" t="inlineStr">
        <is>
          <t>QTY</t>
        </is>
      </c>
      <c r="B12" s="30" t="inlineStr">
        <is>
          <t>DESCRIPTION</t>
        </is>
      </c>
      <c r="C12" s="30" t="inlineStr">
        <is>
          <t>UNIT PRICE</t>
        </is>
      </c>
      <c r="D12" s="30" t="inlineStr">
        <is>
          <t>DISCOUNT</t>
        </is>
      </c>
      <c r="E12" s="30" t="inlineStr">
        <is>
          <t>LINE TOTAL</t>
        </is>
      </c>
      <c r="F12" s="30" t="inlineStr">
        <is>
          <t>DELIVERY</t>
        </is>
      </c>
    </row>
    <row r="13">
      <c r="A13" s="5" t="n"/>
      <c r="B13" s="5" t="n"/>
      <c r="C13" s="6" t="n"/>
      <c r="D13" s="5" t="n"/>
      <c r="E13" s="6" t="n"/>
      <c r="F13" s="5" t="n"/>
    </row>
    <row r="14">
      <c r="A14" s="5" t="n"/>
      <c r="B14" s="5" t="n"/>
      <c r="C14" s="6" t="n"/>
      <c r="D14" s="5" t="n"/>
      <c r="E14" s="6" t="n"/>
      <c r="F14" s="5" t="n"/>
    </row>
    <row r="15">
      <c r="A15" s="5" t="n"/>
      <c r="B15" s="5" t="n"/>
      <c r="C15" s="6" t="n"/>
      <c r="D15" s="5" t="n"/>
      <c r="E15" s="6" t="n"/>
      <c r="F15" s="5" t="n"/>
    </row>
    <row r="16">
      <c r="A16" s="5" t="n"/>
      <c r="B16" s="5" t="n"/>
      <c r="C16" s="6" t="n"/>
      <c r="D16" s="5" t="n"/>
      <c r="E16" s="6" t="n"/>
      <c r="F16" s="5" t="n"/>
    </row>
    <row r="17">
      <c r="A17" s="5" t="n"/>
      <c r="B17" s="5" t="n"/>
      <c r="C17" s="6" t="n"/>
      <c r="D17" s="5" t="n"/>
      <c r="E17" s="6" t="n"/>
      <c r="F17" s="5" t="n"/>
    </row>
    <row r="18">
      <c r="A18" s="5" t="n"/>
      <c r="B18" s="5" t="n"/>
      <c r="C18" s="6" t="n"/>
      <c r="D18" s="5" t="n"/>
      <c r="E18" s="6" t="n"/>
      <c r="F18" s="5" t="n"/>
    </row>
    <row r="19">
      <c r="A19" s="5" t="n"/>
      <c r="B19" s="5" t="n"/>
      <c r="C19" s="6" t="n"/>
      <c r="D19" s="5" t="n"/>
      <c r="E19" s="6" t="n"/>
      <c r="F19" s="5" t="n"/>
    </row>
    <row r="25">
      <c r="D25" t="inlineStr">
        <is>
          <t>Subtotal:</t>
        </is>
      </c>
      <c r="E25" s="20">
        <f>IF(Quote Input!B37&lt;&gt;"",Quote Input!B37,0)</f>
        <v/>
      </c>
    </row>
    <row r="26">
      <c r="D26" t="inlineStr">
        <is>
          <t>Tax:</t>
        </is>
      </c>
      <c r="E26" s="20">
        <f>IF(Quote Input!B40&lt;&gt;"",Quote Input!B40,0)</f>
        <v/>
      </c>
    </row>
    <row r="27">
      <c r="D27" t="inlineStr">
        <is>
          <t>TOTAL:</t>
        </is>
      </c>
      <c r="E27" s="31">
        <f>IF(Quote Input!B41&lt;&gt;"",Quote Input!B41,0)</f>
        <v/>
      </c>
    </row>
    <row r="30">
      <c r="A30" s="15" t="inlineStr">
        <is>
          <t>TERMS AND CONDITIONS</t>
        </is>
      </c>
    </row>
    <row r="31">
      <c r="A31" t="inlineStr">
        <is>
          <t>1. Prices are valid for 30 days from quotation date.</t>
        </is>
      </c>
    </row>
    <row r="32">
      <c r="A32" t="inlineStr">
        <is>
          <t>2. Payment terms: Net 30 days from invoice date.</t>
        </is>
      </c>
    </row>
    <row r="33">
      <c r="A33" t="inlineStr">
        <is>
          <t>3. Lead times commence upon receipt of purchase order and deposit.</t>
        </is>
      </c>
    </row>
    <row r="34">
      <c r="A34" t="inlineStr">
        <is>
          <t>4. All prices are FOB origin unless otherwise specified.</t>
        </is>
      </c>
    </row>
    <row r="35">
      <c r="A35" t="inlineStr">
        <is>
          <t>5. This quotation is subject to availability of materials.</t>
        </is>
      </c>
    </row>
    <row r="40">
      <c r="A40" s="18" t="inlineStr">
        <is>
          <t>Accepted By:</t>
        </is>
      </c>
      <c r="E40" s="18" t="inlineStr">
        <is>
          <t>Authorized By:</t>
        </is>
      </c>
    </row>
    <row r="41">
      <c r="A41" t="inlineStr">
        <is>
          <t>__________________________</t>
        </is>
      </c>
      <c r="E41" t="inlineStr">
        <is>
          <t>__________________________</t>
        </is>
      </c>
    </row>
    <row r="42">
      <c r="A42" t="inlineStr">
        <is>
          <t>Signature</t>
        </is>
      </c>
      <c r="E42" t="inlineStr">
        <is>
          <t>Your Company Representative</t>
        </is>
      </c>
    </row>
    <row r="43">
      <c r="A43" t="inlineStr">
        <is>
          <t>Date: __________________</t>
        </is>
      </c>
      <c r="E43" t="inlineStr">
        <is>
          <t>Date: __________________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QUOTATION HISTORY</t>
        </is>
      </c>
    </row>
    <row r="3">
      <c r="A3" s="4" t="inlineStr">
        <is>
          <t>Quote #</t>
        </is>
      </c>
      <c r="B3" s="4" t="inlineStr">
        <is>
          <t>Date</t>
        </is>
      </c>
      <c r="C3" s="4" t="inlineStr">
        <is>
          <t>Customer</t>
        </is>
      </c>
      <c r="D3" s="4" t="inlineStr">
        <is>
          <t>Items</t>
        </is>
      </c>
      <c r="E3" s="4" t="inlineStr">
        <is>
          <t>Quantity</t>
        </is>
      </c>
      <c r="F3" s="4" t="inlineStr">
        <is>
          <t>Total ($)</t>
        </is>
      </c>
      <c r="G3" s="4" t="inlineStr">
        <is>
          <t>Status</t>
        </is>
      </c>
      <c r="H3" s="4" t="inlineStr">
        <is>
          <t>Created By</t>
        </is>
      </c>
      <c r="I3" s="4" t="inlineStr">
        <is>
          <t>Won Date</t>
        </is>
      </c>
      <c r="J3" s="4" t="inlineStr">
        <is>
          <t>Lost Date</t>
        </is>
      </c>
      <c r="K3" s="4" t="inlineStr">
        <is>
          <t>Lost To</t>
        </is>
      </c>
      <c r="L3" s="4" t="inlineStr">
        <is>
          <t>Follow-up Date</t>
        </is>
      </c>
    </row>
    <row r="5">
      <c r="A5" s="5" t="inlineStr">
        <is>
          <t>QT-20250115-001</t>
        </is>
      </c>
      <c r="B5" s="5" t="inlineStr">
        <is>
          <t>2025-01-15</t>
        </is>
      </c>
      <c r="C5" s="5" t="inlineStr">
        <is>
          <t>Acme Corporation</t>
        </is>
      </c>
      <c r="D5" s="5" t="n">
        <v>2</v>
      </c>
      <c r="E5" s="5" t="n">
        <v>150</v>
      </c>
      <c r="F5" s="6" t="n">
        <v>12500</v>
      </c>
      <c r="G5" s="5" t="inlineStr">
        <is>
          <t>Won</t>
        </is>
      </c>
      <c r="H5" s="5" t="inlineStr">
        <is>
          <t>John Doe</t>
        </is>
      </c>
      <c r="I5" s="5" t="inlineStr">
        <is>
          <t>2025-01-18</t>
        </is>
      </c>
      <c r="J5" s="5" t="inlineStr"/>
      <c r="K5" s="5" t="inlineStr"/>
      <c r="L5" s="5" t="inlineStr"/>
    </row>
    <row r="6">
      <c r="A6" s="5" t="inlineStr">
        <is>
          <t>QT-20250114-002</t>
        </is>
      </c>
      <c r="B6" s="5" t="inlineStr">
        <is>
          <t>2025-01-14</t>
        </is>
      </c>
      <c r="C6" s="5" t="inlineStr">
        <is>
          <t>Global Industries</t>
        </is>
      </c>
      <c r="D6" s="5" t="n">
        <v>3</v>
      </c>
      <c r="E6" s="5" t="n">
        <v>75</v>
      </c>
      <c r="F6" s="6" t="n">
        <v>18900</v>
      </c>
      <c r="G6" s="5" t="inlineStr">
        <is>
          <t>Pending</t>
        </is>
      </c>
      <c r="H6" s="5" t="inlineStr">
        <is>
          <t>Jane Smith</t>
        </is>
      </c>
      <c r="I6" s="5" t="inlineStr"/>
      <c r="J6" s="5" t="inlineStr"/>
      <c r="K6" s="5" t="inlineStr"/>
      <c r="L6" s="5" t="inlineStr">
        <is>
          <t>2025-02-01</t>
        </is>
      </c>
    </row>
    <row r="7">
      <c r="A7" s="5" t="inlineStr">
        <is>
          <t>QT-20250112-003</t>
        </is>
      </c>
      <c r="B7" s="5" t="inlineStr">
        <is>
          <t>2025-01-12</t>
        </is>
      </c>
      <c r="C7" s="5" t="inlineStr">
        <is>
          <t>Pacific Trading</t>
        </is>
      </c>
      <c r="D7" s="5" t="n">
        <v>1</v>
      </c>
      <c r="E7" s="5" t="n">
        <v>200</v>
      </c>
      <c r="F7" s="6" t="n">
        <v>8400</v>
      </c>
      <c r="G7" s="5" t="inlineStr">
        <is>
          <t>Lost</t>
        </is>
      </c>
      <c r="H7" s="5" t="inlineStr">
        <is>
          <t>John Doe</t>
        </is>
      </c>
      <c r="I7" s="5" t="inlineStr"/>
      <c r="J7" s="5" t="inlineStr">
        <is>
          <t>2025-01-15</t>
        </is>
      </c>
      <c r="K7" s="5" t="inlineStr">
        <is>
          <t>Competitor A</t>
        </is>
      </c>
      <c r="L7" s="5" t="inlineStr"/>
    </row>
    <row r="8">
      <c r="A8" s="5" t="inlineStr">
        <is>
          <t>QT-20250110-004</t>
        </is>
      </c>
      <c r="B8" s="5" t="inlineStr">
        <is>
          <t>2025-01-10</t>
        </is>
      </c>
      <c r="C8" s="5" t="inlineStr">
        <is>
          <t>Mountain Supply</t>
        </is>
      </c>
      <c r="D8" s="5" t="n">
        <v>2</v>
      </c>
      <c r="E8" s="5" t="n">
        <v>100</v>
      </c>
      <c r="F8" s="6" t="n">
        <v>15600</v>
      </c>
      <c r="G8" s="5" t="inlineStr">
        <is>
          <t>Won</t>
        </is>
      </c>
      <c r="H8" s="5" t="inlineStr">
        <is>
          <t>Jane Smith</t>
        </is>
      </c>
      <c r="I8" s="5" t="inlineStr">
        <is>
          <t>2025-01-12</t>
        </is>
      </c>
      <c r="J8" s="5" t="inlineStr"/>
      <c r="K8" s="5" t="inlineStr"/>
      <c r="L8" s="5" t="inlineStr"/>
    </row>
    <row r="9">
      <c r="A9" s="5" t="inlineStr">
        <is>
          <t>QT-20250108-005</t>
        </is>
      </c>
      <c r="B9" s="5" t="inlineStr">
        <is>
          <t>2025-01-08</t>
        </is>
      </c>
      <c r="C9" s="5" t="inlineStr">
        <is>
          <t>Urban Solutions</t>
        </is>
      </c>
      <c r="D9" s="5" t="n">
        <v>4</v>
      </c>
      <c r="E9" s="5" t="n">
        <v>300</v>
      </c>
      <c r="F9" s="6" t="n">
        <v>45000</v>
      </c>
      <c r="G9" s="5" t="inlineStr">
        <is>
          <t>Expired</t>
        </is>
      </c>
      <c r="H9" s="5" t="inlineStr">
        <is>
          <t>John Doe</t>
        </is>
      </c>
      <c r="I9" s="5" t="inlineStr"/>
      <c r="J9" s="5" t="inlineStr">
        <is>
          <t>2025-02-08</t>
        </is>
      </c>
      <c r="K9" s="5" t="inlineStr"/>
      <c r="L9" s="5" t="inlineStr"/>
    </row>
    <row r="25">
      <c r="A25" s="3" t="inlineStr">
        <is>
          <t>SUMMARY STATISTICS</t>
        </is>
      </c>
    </row>
    <row r="27">
      <c r="A27" t="inlineStr">
        <is>
          <t>Total Quotes:</t>
        </is>
      </c>
      <c r="B27">
        <f>COUNTA(A5:A500)-1</f>
        <v/>
      </c>
    </row>
    <row r="28">
      <c r="A28" t="inlineStr">
        <is>
          <t>Quotes Won:</t>
        </is>
      </c>
      <c r="B28">
        <f>COUNTIF(G5:G500,"Won")</f>
        <v/>
      </c>
    </row>
    <row r="29">
      <c r="A29" t="inlineStr">
        <is>
          <t>Quotes Lost:</t>
        </is>
      </c>
      <c r="B29">
        <f>COUNTIF(G5:G500,"Lost")</f>
        <v/>
      </c>
    </row>
    <row r="30">
      <c r="A30" t="inlineStr">
        <is>
          <t>Win Rate:</t>
        </is>
      </c>
      <c r="B30" s="32">
        <f>IF(B27&gt;0,B28/B27,0)</f>
        <v/>
      </c>
    </row>
    <row r="31">
      <c r="A31" t="inlineStr">
        <is>
          <t>Total Quoted Value:</t>
        </is>
      </c>
      <c r="B31" s="20">
        <f>SUM(F5:F500)</f>
        <v/>
      </c>
    </row>
    <row r="32">
      <c r="A32" t="inlineStr">
        <is>
          <t>Total Won Value:</t>
        </is>
      </c>
      <c r="B32" s="20">
        <f>SUMIF(G5:G500,"Won",F5:F500)</f>
        <v/>
      </c>
    </row>
  </sheetData>
  <mergeCells count="1">
    <mergeCell ref="A1:L1"/>
  </mergeCells>
  <dataValidations count="1">
    <dataValidation sqref="G4:G500" showDropDown="0" showInputMessage="0" showErrorMessage="0" allowBlank="0" type="list">
      <formula1>"Pending,Won,Lost,Expired,Revised"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2026-01-19T10:30:47Z</dcterms:created>
  <dcterms:modified xmlns:dcterms="http://purl.org/dc/terms/" xmlns:xsi="http://www.w3.org/2001/XMLSchema-instance" xsi:type="dcterms:W3CDTF">2026-01-19T10:30:47Z</dcterms:modified>
</cp:coreProperties>
</file>