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aff Skillset" sheetId="2" state="visible" r:id="rId4"/>
    <sheet name="Ad Performance" sheetId="3" state="visible" r:id="rId5"/>
    <sheet name="Client Accounts" sheetId="4" state="visible" r:id="rId6"/>
    <sheet name="Weekly Trends" sheetId="5" state="visible" r:id="rId7"/>
    <sheet name="Data Inpu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<sst xmlns="http://schemas.openxmlformats.org/spreadsheetml/2006/main" count="276" uniqueCount="184">
  <si>
    <t xml:space="preserve">TEAM KPI DASHBOARD</t>
  </si>
  <si>
    <t xml:space="preserve">Last Updated:</t>
  </si>
  <si>
    <t xml:space="preserve">2026-01-19</t>
  </si>
  <si>
    <t xml:space="preserve">TEAM OVERVIEW</t>
  </si>
  <si>
    <t xml:space="preserve">Staff</t>
  </si>
  <si>
    <t xml:space="preserve">Avg Skill</t>
  </si>
  <si>
    <t xml:space="preserve">ROAS</t>
  </si>
  <si>
    <t xml:space="preserve">Metric</t>
  </si>
  <si>
    <t xml:space="preserve">Current</t>
  </si>
  <si>
    <t xml:space="preserve">Target</t>
  </si>
  <si>
    <t xml:space="preserve">Variance</t>
  </si>
  <si>
    <t xml:space="preserve">Status</t>
  </si>
  <si>
    <t xml:space="preserve">John S.</t>
  </si>
  <si>
    <t xml:space="preserve">Total Active Staff</t>
  </si>
  <si>
    <t xml:space="preserve">Sarah J.</t>
  </si>
  <si>
    <t xml:space="preserve">Avg Skill Score</t>
  </si>
  <si>
    <t xml:space="preserve">Mike C.</t>
  </si>
  <si>
    <t xml:space="preserve">Total Clients Managed</t>
  </si>
  <si>
    <t xml:space="preserve">Emily D.</t>
  </si>
  <si>
    <t xml:space="preserve">Avg ROAS (All Accounts)</t>
  </si>
  <si>
    <t xml:space="preserve">Alex W.</t>
  </si>
  <si>
    <t xml:space="preserve">Avg CPA ($)</t>
  </si>
  <si>
    <t xml:space="preserve">Lisa B.</t>
  </si>
  <si>
    <t xml:space="preserve">Total Ad Spend (MTD)</t>
  </si>
  <si>
    <t xml:space="preserve">David L.</t>
  </si>
  <si>
    <t xml:space="preserve">Conversion Rate (%)</t>
  </si>
  <si>
    <t xml:space="preserve">Emma T.</t>
  </si>
  <si>
    <t xml:space="preserve">TOP PERFORMERS THIS PERIOD</t>
  </si>
  <si>
    <t xml:space="preserve">Rank</t>
  </si>
  <si>
    <t xml:space="preserve">Staff Member</t>
  </si>
  <si>
    <t xml:space="preserve">Conversions</t>
  </si>
  <si>
    <t xml:space="preserve">Skill Score</t>
  </si>
  <si>
    <t xml:space="preserve">STAFF SKILLSET &amp; DEVELOPMENT TRACKER</t>
  </si>
  <si>
    <t xml:space="preserve">Staff ID</t>
  </si>
  <si>
    <t xml:space="preserve">Name</t>
  </si>
  <si>
    <t xml:space="preserve">Role</t>
  </si>
  <si>
    <t xml:space="preserve">Start Date</t>
  </si>
  <si>
    <t xml:space="preserve">Copywriting</t>
  </si>
  <si>
    <t xml:space="preserve">Creative Strategy</t>
  </si>
  <si>
    <t xml:space="preserve">Audience Targeting</t>
  </si>
  <si>
    <t xml:space="preserve">Analytics</t>
  </si>
  <si>
    <t xml:space="preserve">Campaign Setup</t>
  </si>
  <si>
    <t xml:space="preserve">Budget Management</t>
  </si>
  <si>
    <t xml:space="preserve">Client Communication</t>
  </si>
  <si>
    <t xml:space="preserve">Reporting</t>
  </si>
  <si>
    <t xml:space="preserve">Certifications</t>
  </si>
  <si>
    <t xml:space="preserve">Training Status</t>
  </si>
  <si>
    <t xml:space="preserve">S001</t>
  </si>
  <si>
    <t xml:space="preserve">John Smith</t>
  </si>
  <si>
    <t xml:space="preserve">Senior Media Buyer</t>
  </si>
  <si>
    <t xml:space="preserve">2022-01-15</t>
  </si>
  <si>
    <t xml:space="preserve">Meta Blueprint</t>
  </si>
  <si>
    <t xml:space="preserve">Complete</t>
  </si>
  <si>
    <t xml:space="preserve">S002</t>
  </si>
  <si>
    <t xml:space="preserve">Sarah Johnson</t>
  </si>
  <si>
    <t xml:space="preserve">Media Buyer</t>
  </si>
  <si>
    <t xml:space="preserve">2022-06-01</t>
  </si>
  <si>
    <t xml:space="preserve">Google Ads</t>
  </si>
  <si>
    <t xml:space="preserve">S003</t>
  </si>
  <si>
    <t xml:space="preserve">Mike Chen</t>
  </si>
  <si>
    <t xml:space="preserve">Junior Media Buyer</t>
  </si>
  <si>
    <t xml:space="preserve">2023-03-20</t>
  </si>
  <si>
    <t xml:space="preserve">Meta + HubSpot</t>
  </si>
  <si>
    <t xml:space="preserve">In Progress</t>
  </si>
  <si>
    <t xml:space="preserve">S004</t>
  </si>
  <si>
    <t xml:space="preserve">Emily Davis</t>
  </si>
  <si>
    <t xml:space="preserve">2021-08-10</t>
  </si>
  <si>
    <t xml:space="preserve">Meta Blueprint, GA4</t>
  </si>
  <si>
    <t xml:space="preserve">S005</t>
  </si>
  <si>
    <t xml:space="preserve">Alex Wilson</t>
  </si>
  <si>
    <t xml:space="preserve">2022-11-05</t>
  </si>
  <si>
    <t xml:space="preserve">S006</t>
  </si>
  <si>
    <t xml:space="preserve">Lisa Brown</t>
  </si>
  <si>
    <t xml:space="preserve">Team Lead</t>
  </si>
  <si>
    <t xml:space="preserve">2020-05-15</t>
  </si>
  <si>
    <t xml:space="preserve">All Certs</t>
  </si>
  <si>
    <t xml:space="preserve">S007</t>
  </si>
  <si>
    <t xml:space="preserve">David Lee</t>
  </si>
  <si>
    <t xml:space="preserve">2023-08-01</t>
  </si>
  <si>
    <t xml:space="preserve">S008</t>
  </si>
  <si>
    <t xml:space="preserve">Emma Taylor</t>
  </si>
  <si>
    <t xml:space="preserve">2023-01-10</t>
  </si>
  <si>
    <t xml:space="preserve">SKILL RATING LEGEND</t>
  </si>
  <si>
    <t xml:space="preserve">90-100: Expert</t>
  </si>
  <si>
    <t xml:space="preserve">65-89: Proficient</t>
  </si>
  <si>
    <t xml:space="preserve">0-64: Developing</t>
  </si>
  <si>
    <t xml:space="preserve">SKILL DISTRIBUTION CHART DATA</t>
  </si>
  <si>
    <t xml:space="preserve">Individual Performance</t>
  </si>
  <si>
    <t xml:space="preserve">Skill Area</t>
  </si>
  <si>
    <t xml:space="preserve">Team Avg</t>
  </si>
  <si>
    <t xml:space="preserve">Creative</t>
  </si>
  <si>
    <t xml:space="preserve">Targeting</t>
  </si>
  <si>
    <t xml:space="preserve">Setup</t>
  </si>
  <si>
    <t xml:space="preserve">Budget</t>
  </si>
  <si>
    <t xml:space="preserve">Comms</t>
  </si>
  <si>
    <t xml:space="preserve">FACEBOOK AD PERFORMANCE BY STAFF MEMBER</t>
  </si>
  <si>
    <t xml:space="preserve">Data syncs from live ad accounts. Yellow cells = manual input fields.</t>
  </si>
  <si>
    <t xml:space="preserve">Staff Name</t>
  </si>
  <si>
    <t xml:space="preserve">Client</t>
  </si>
  <si>
    <t xml:space="preserve">Account ID</t>
  </si>
  <si>
    <t xml:space="preserve">CPA ($)</t>
  </si>
  <si>
    <t xml:space="preserve">CTR (%)</t>
  </si>
  <si>
    <t xml:space="preserve">CPM ($)</t>
  </si>
  <si>
    <t xml:space="preserve">Impressions</t>
  </si>
  <si>
    <t xml:space="preserve">Clicks</t>
  </si>
  <si>
    <t xml:space="preserve">Spend ($)</t>
  </si>
  <si>
    <t xml:space="preserve">Revenue ($)</t>
  </si>
  <si>
    <t xml:space="preserve">Conv Rate (%)</t>
  </si>
  <si>
    <t xml:space="preserve">Frequency</t>
  </si>
  <si>
    <t xml:space="preserve">Performance Score</t>
  </si>
  <si>
    <t xml:space="preserve">Notes</t>
  </si>
  <si>
    <t xml:space="preserve">Client A</t>
  </si>
  <si>
    <t xml:space="preserve">ACT_123456</t>
  </si>
  <si>
    <t xml:space="preserve">Client B</t>
  </si>
  <si>
    <t xml:space="preserve">ACT_123457</t>
  </si>
  <si>
    <t xml:space="preserve">Client C</t>
  </si>
  <si>
    <t xml:space="preserve">ACT_234567</t>
  </si>
  <si>
    <t xml:space="preserve">Client D</t>
  </si>
  <si>
    <t xml:space="preserve">ACT_234568</t>
  </si>
  <si>
    <t xml:space="preserve">Client E</t>
  </si>
  <si>
    <t xml:space="preserve">ACT_345678</t>
  </si>
  <si>
    <t xml:space="preserve">Client F</t>
  </si>
  <si>
    <t xml:space="preserve">ACT_456789</t>
  </si>
  <si>
    <t xml:space="preserve">Client G</t>
  </si>
  <si>
    <t xml:space="preserve">ACT_456790</t>
  </si>
  <si>
    <t xml:space="preserve">Client H</t>
  </si>
  <si>
    <t xml:space="preserve">ACT_567890</t>
  </si>
  <si>
    <t xml:space="preserve">Client I</t>
  </si>
  <si>
    <t xml:space="preserve">ACT_678901</t>
  </si>
  <si>
    <t xml:space="preserve">Client J</t>
  </si>
  <si>
    <t xml:space="preserve">ACT_678902</t>
  </si>
  <si>
    <t xml:space="preserve">Client K</t>
  </si>
  <si>
    <t xml:space="preserve">ACT_789012</t>
  </si>
  <si>
    <t xml:space="preserve">Client L</t>
  </si>
  <si>
    <t xml:space="preserve">ACT_890123</t>
  </si>
  <si>
    <t xml:space="preserve">TEAM AVERAGES</t>
  </si>
  <si>
    <t xml:space="preserve">Avg ROAS</t>
  </si>
  <si>
    <t xml:space="preserve">Avg CPA</t>
  </si>
  <si>
    <t xml:space="preserve">Avg CTR</t>
  </si>
  <si>
    <t xml:space="preserve">Total Spend</t>
  </si>
  <si>
    <t xml:space="preserve">Total Revenue</t>
  </si>
  <si>
    <t xml:space="preserve">PERFORMANCE VISUALIZATIONS</t>
  </si>
  <si>
    <t xml:space="preserve">CLIENT ACCOUNT OVERVIEW</t>
  </si>
  <si>
    <t xml:space="preserve">Client Name</t>
  </si>
  <si>
    <t xml:space="preserve">Assigned Staff</t>
  </si>
  <si>
    <t xml:space="preserve">Monthly Budget</t>
  </si>
  <si>
    <t xml:space="preserve">MTD Spend</t>
  </si>
  <si>
    <t xml:space="preserve">Budget Remaining</t>
  </si>
  <si>
    <t xml:space="preserve">Budget %</t>
  </si>
  <si>
    <t xml:space="preserve">ROAS Target</t>
  </si>
  <si>
    <t xml:space="preserve">Actual ROAS</t>
  </si>
  <si>
    <t xml:space="preserve">ROAS Variance</t>
  </si>
  <si>
    <t xml:space="preserve">Health</t>
  </si>
  <si>
    <t xml:space="preserve">Active</t>
  </si>
  <si>
    <t xml:space="preserve">BUDGET &amp; PERFORMANCE CHARTS</t>
  </si>
  <si>
    <t xml:space="preserve">WEEKLY PERFORMANCE TRENDS</t>
  </si>
  <si>
    <t xml:space="preserve">Week</t>
  </si>
  <si>
    <t xml:space="preserve">Total Conversions</t>
  </si>
  <si>
    <t xml:space="preserve">WoW Change</t>
  </si>
  <si>
    <t xml:space="preserve">Trend</t>
  </si>
  <si>
    <t xml:space="preserve">Week 1</t>
  </si>
  <si>
    <t xml:space="preserve">-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</si>
  <si>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</si>
  <si>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</si>
  <si>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</si>
  <si>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</si>
  <si>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</si>
  <si>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</si>
  <si>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</si>
  <si>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TREND VISUALIZATIONS</t>
  </si>
  <si>
    <t xml:space="preserve">LIVE DATA INPUT ZONE</t>
  </si>
  <si>
    <t xml:space="preserve">Configure your Google Sheets sync to update this sheet. Data here feeds into other tabs.</t>
  </si>
  <si>
    <t xml:space="preserve">SYNC CONFIGURATION</t>
  </si>
  <si>
    <t xml:space="preserve">Sync Source:</t>
  </si>
  <si>
    <t xml:space="preserve">Facebook Ads API via Supermetrics/Funnel.io</t>
  </si>
  <si>
    <t xml:space="preserve">Sync Frequency:</t>
  </si>
  <si>
    <t xml:space="preserve">Hourly</t>
  </si>
  <si>
    <t xml:space="preserve">Last Sync:</t>
  </si>
  <si>
    <t xml:space="preserve">Sync Status:</t>
  </si>
  <si>
    <t xml:space="preserve">Connected</t>
  </si>
  <si>
    <t xml:space="preserve">RAW DATA PASTE AREA</t>
  </si>
  <si>
    <t xml:space="preserve">Date</t>
  </si>
  <si>
    <t xml:space="preserve">Spend</t>
  </si>
  <si>
    <t xml:space="preserve">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</si>
</sst>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%"/>
    <numFmt numFmtId="168" formatCode="mm/dd/yy\ hh:mm\ AM/P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75B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2E75B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name val="Cambria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2E75B6"/>
        <bgColor rgb="FF4672A8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E5C8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A4D4A"/>
      <rgbColor rgb="FF008000"/>
      <rgbColor rgb="FF000080"/>
      <rgbColor rgb="FFC56D6B"/>
      <rgbColor rgb="FFAB4744"/>
      <rgbColor rgb="FF008080"/>
      <rgbColor rgb="FFB3B3B3"/>
      <rgbColor rgb="FF4F81BD"/>
      <rgbColor rgb="FF93A9CE"/>
      <rgbColor rgb="FF9A403E"/>
      <rgbColor rgb="FFFFFFCC"/>
      <rgbColor rgb="FFDDEBF7"/>
      <rgbColor rgb="FF660066"/>
      <rgbColor rgb="FFD09493"/>
      <rgbColor rgb="FF4672A8"/>
      <rgbColor rgb="FFD9D9D9"/>
      <rgbColor rgb="FF000080"/>
      <rgbColor rgb="FFFF00FF"/>
      <rgbColor rgb="FFFFFF00"/>
      <rgbColor rgb="FF00FFFF"/>
      <rgbColor rgb="FFB94D4A"/>
      <rgbColor rgb="FF800000"/>
      <rgbColor rgb="FF008080"/>
      <rgbColor rgb="FF0000FF"/>
      <rgbColor rgb="FF00CCFF"/>
      <rgbColor rgb="FFB8CD97"/>
      <rgbColor rgb="FFC6EFCE"/>
      <rgbColor rgb="FFFFEB9C"/>
      <rgbColor rgb="FF99CCFF"/>
      <rgbColor rgb="FFDBB0B0"/>
      <rgbColor rgb="FFE5C8C8"/>
      <rgbColor rgb="FFFFC7CE"/>
      <rgbColor rgb="FF2E75B6"/>
      <rgbColor rgb="FF33CCCC"/>
      <rgbColor rgb="FF9BBB59"/>
      <rgbColor rgb="FFFFCC00"/>
      <rgbColor rgb="FFFF9900"/>
      <rgbColor rgb="FFC0504D"/>
      <rgbColor rgb="FF8064A2"/>
      <rgbColor rgb="FF8AA64F"/>
      <rgbColor rgb="FF003366"/>
      <rgbColor rgb="FF4C7DB7"/>
      <rgbColor rgb="FF003300"/>
      <rgbColor rgb="FF333300"/>
      <rgbColor rgb="FF883836"/>
      <rgbColor rgb="FF8F3B39"/>
      <rgbColor rgb="FF3A6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 by Staff Member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Dashboard!L4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Dashboard!$J$5:$J$12</c:f>
              <c:strCache>
                <c:ptCount val="8"/>
                <c:pt idx="0">
                  <c:v>John S.</c:v>
                </c:pt>
                <c:pt idx="1">
                  <c:v>Sarah J.</c:v>
                </c:pt>
                <c:pt idx="2">
                  <c:v>Mike C.</c:v>
                </c:pt>
                <c:pt idx="3">
                  <c:v>Emily D.</c:v>
                </c:pt>
                <c:pt idx="4">
                  <c:v>Alex W.</c:v>
                </c:pt>
                <c:pt idx="5">
                  <c:v>Lisa B.</c:v>
                </c:pt>
                <c:pt idx="6">
                  <c:v>David L.</c:v>
                </c:pt>
                <c:pt idx="7">
                  <c:v>Emma T.</c:v>
                </c:pt>
              </c:strCache>
            </c:strRef>
          </c:cat>
          <c:val>
            <c:numRef>
              <c:f>Dashboard!$L$5:$L$12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2.2</c:v>
                </c:pt>
                <c:pt idx="3">
                  <c:v>4.95</c:v>
                </c:pt>
                <c:pt idx="4">
                  <c:v>3</c:v>
                </c:pt>
                <c:pt idx="5">
                  <c:v>5.35</c:v>
                </c:pt>
                <c:pt idx="6">
                  <c:v>1.8</c:v>
                </c:pt>
                <c:pt idx="7">
                  <c:v>2.8</c:v>
                </c:pt>
              </c:numCache>
            </c:numRef>
          </c:val>
        </c:ser>
        <c:gapWidth val="150"/>
        <c:overlap val="0"/>
        <c:axId val="99943874"/>
        <c:axId val="26377908"/>
      </c:barChart>
      <c:catAx>
        <c:axId val="99943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77908"/>
        <c:crosses val="autoZero"/>
        <c:auto val="1"/>
        <c:lblAlgn val="ctr"/>
        <c:lblOffset val="100"/>
        <c:noMultiLvlLbl val="0"/>
      </c:catAx>
      <c:valAx>
        <c:axId val="263779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43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Skill Score by Staff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Dashboard!K4</c:f>
              <c:strCache>
                <c:ptCount val="1"/>
                <c:pt idx="0">
                  <c:v>Avg Skill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Dashboard!$J$5:$J$12</c:f>
              <c:strCache>
                <c:ptCount val="8"/>
                <c:pt idx="0">
                  <c:v>John S.</c:v>
                </c:pt>
                <c:pt idx="1">
                  <c:v>Sarah J.</c:v>
                </c:pt>
                <c:pt idx="2">
                  <c:v>Mike C.</c:v>
                </c:pt>
                <c:pt idx="3">
                  <c:v>Emily D.</c:v>
                </c:pt>
                <c:pt idx="4">
                  <c:v>Alex W.</c:v>
                </c:pt>
                <c:pt idx="5">
                  <c:v>Lisa B.</c:v>
                </c:pt>
                <c:pt idx="6">
                  <c:v>David L.</c:v>
                </c:pt>
                <c:pt idx="7">
                  <c:v>Emma T.</c:v>
                </c:pt>
              </c:strCache>
            </c:strRef>
          </c:cat>
          <c:val>
            <c:numRef>
              <c:f>Dashboard!$K$5:$K$12</c:f>
              <c:numCache>
                <c:formatCode>General</c:formatCode>
                <c:ptCount val="8"/>
                <c:pt idx="0">
                  <c:v>84.1</c:v>
                </c:pt>
                <c:pt idx="1">
                  <c:v>74.4</c:v>
                </c:pt>
                <c:pt idx="2">
                  <c:v>62.8</c:v>
                </c:pt>
                <c:pt idx="3">
                  <c:v>88.3</c:v>
                </c:pt>
                <c:pt idx="4">
                  <c:v>72.3</c:v>
                </c:pt>
                <c:pt idx="5">
                  <c:v>92.5</c:v>
                </c:pt>
                <c:pt idx="6">
                  <c:v>57.1</c:v>
                </c:pt>
                <c:pt idx="7">
                  <c:v>69.4</c:v>
                </c:pt>
              </c:numCache>
            </c:numRef>
          </c:val>
        </c:ser>
        <c:gapWidth val="150"/>
        <c:overlap val="0"/>
        <c:axId val="83897801"/>
        <c:axId val="97673651"/>
      </c:barChart>
      <c:catAx>
        <c:axId val="838978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73651"/>
        <c:crosses val="autoZero"/>
        <c:auto val="1"/>
        <c:lblAlgn val="ctr"/>
        <c:lblOffset val="100"/>
        <c:noMultiLvlLbl val="0"/>
      </c:catAx>
      <c:valAx>
        <c:axId val="97673651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978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Skill Profile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'Staff Skillset'!B22</c:f>
              <c:strCache>
                <c:ptCount val="1"/>
                <c:pt idx="0">
                  <c:v>Team Avg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Skillset'!$A$23:$A$30</c:f>
              <c:strCache>
                <c:ptCount val="8"/>
                <c:pt idx="0">
                  <c:v>Copywriting</c:v>
                </c:pt>
                <c:pt idx="1">
                  <c:v>Creative</c:v>
                </c:pt>
                <c:pt idx="2">
                  <c:v>Targeting</c:v>
                </c:pt>
                <c:pt idx="3">
                  <c:v>Analytics</c:v>
                </c:pt>
                <c:pt idx="4">
                  <c:v>Setup</c:v>
                </c:pt>
                <c:pt idx="5">
                  <c:v>Budget</c:v>
                </c:pt>
                <c:pt idx="6">
                  <c:v>Comms</c:v>
                </c:pt>
                <c:pt idx="7">
                  <c:v>Reporting</c:v>
                </c:pt>
              </c:strCache>
            </c:strRef>
          </c:cat>
          <c:val>
            <c:numRef>
              <c:f>'Staff Skillset'!$B$23:$B$30</c:f>
              <c:numCache>
                <c:formatCode>General</c:formatCode>
                <c:ptCount val="8"/>
                <c:pt idx="0">
                  <c:v>76.3</c:v>
                </c:pt>
                <c:pt idx="1">
                  <c:v>73.5</c:v>
                </c:pt>
                <c:pt idx="2">
                  <c:v>75.9</c:v>
                </c:pt>
                <c:pt idx="3">
                  <c:v>73</c:v>
                </c:pt>
                <c:pt idx="4">
                  <c:v>78</c:v>
                </c:pt>
                <c:pt idx="5">
                  <c:v>71.4</c:v>
                </c:pt>
                <c:pt idx="6">
                  <c:v>79</c:v>
                </c:pt>
                <c:pt idx="7">
                  <c:v>73.8</c:v>
                </c:pt>
              </c:numCache>
            </c:numRef>
          </c:val>
        </c:ser>
        <c:ser>
          <c:idx val="1"/>
          <c:order val="1"/>
          <c:tx>
            <c:strRef>
              <c:f>'Staff Skillset'!C22</c:f>
              <c:strCache>
                <c:ptCount val="1"/>
                <c:pt idx="0">
                  <c:v>Target</c:v>
                </c:pt>
              </c:strCache>
            </c:strRef>
          </c:tx>
          <c:spPr>
            <a:gradFill>
              <a:gsLst>
                <a:gs pos="0">
                  <a:srgbClr val="8f3b39"/>
                </a:gs>
                <a:gs pos="80000">
                  <a:srgbClr val="ba4d4a"/>
                </a:gs>
                <a:gs pos="100000">
                  <a:srgbClr val="ba4d4a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Skillset'!$A$23:$A$30</c:f>
              <c:strCache>
                <c:ptCount val="8"/>
                <c:pt idx="0">
                  <c:v>Copywriting</c:v>
                </c:pt>
                <c:pt idx="1">
                  <c:v>Creative</c:v>
                </c:pt>
                <c:pt idx="2">
                  <c:v>Targeting</c:v>
                </c:pt>
                <c:pt idx="3">
                  <c:v>Analytics</c:v>
                </c:pt>
                <c:pt idx="4">
                  <c:v>Setup</c:v>
                </c:pt>
                <c:pt idx="5">
                  <c:v>Budget</c:v>
                </c:pt>
                <c:pt idx="6">
                  <c:v>Comms</c:v>
                </c:pt>
                <c:pt idx="7">
                  <c:v>Reporting</c:v>
                </c:pt>
              </c:strCache>
            </c:strRef>
          </c:cat>
          <c:val>
            <c:numRef>
              <c:f>'Staff Skillset'!$C$23:$C$30</c:f>
              <c:numCache>
                <c:formatCode>General</c:formatCode>
                <c:ptCount val="8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</c:numCache>
            </c:numRef>
          </c:val>
        </c:ser>
        <c:axId val="94744269"/>
        <c:axId val="46476007"/>
      </c:radarChart>
      <c:catAx>
        <c:axId val="947442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76007"/>
        <c:crosses val="autoZero"/>
        <c:auto val="1"/>
        <c:lblAlgn val="ctr"/>
        <c:lblOffset val="100"/>
        <c:noMultiLvlLbl val="0"/>
      </c:catAx>
      <c:valAx>
        <c:axId val="464760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442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Staff Skill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'Staff Skillset'!E3</c:f>
              <c:strCache>
                <c:ptCount val="1"/>
                <c:pt idx="0">
                  <c:v>Copywriting</c:v>
                </c:pt>
              </c:strCache>
            </c:strRef>
          </c:tx>
          <c:spPr>
            <a:solidFill>
              <a:srgbClr val="88383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Skillset'!$E$4:$E$11</c:f>
              <c:numCache>
                <c:formatCode>General</c:formatCode>
                <c:ptCount val="8"/>
                <c:pt idx="0">
                  <c:v>85</c:v>
                </c:pt>
                <c:pt idx="1">
                  <c:v>75</c:v>
                </c:pt>
                <c:pt idx="2">
                  <c:v>65</c:v>
                </c:pt>
                <c:pt idx="3">
                  <c:v>90</c:v>
                </c:pt>
                <c:pt idx="4">
                  <c:v>72</c:v>
                </c:pt>
                <c:pt idx="5">
                  <c:v>95</c:v>
                </c:pt>
                <c:pt idx="6">
                  <c:v>58</c:v>
                </c:pt>
                <c:pt idx="7">
                  <c:v>70</c:v>
                </c:pt>
              </c:numCache>
            </c:numRef>
          </c:val>
        </c:ser>
        <c:ser>
          <c:idx val="1"/>
          <c:order val="1"/>
          <c:tx>
            <c:strRef>
              <c:f>'Staff Skillset'!F3</c:f>
              <c:strCache>
                <c:ptCount val="1"/>
                <c:pt idx="0">
                  <c:v>Creative Strategy</c:v>
                </c:pt>
              </c:strCache>
            </c:strRef>
          </c:tx>
          <c:spPr>
            <a:solidFill>
              <a:srgbClr val="9a403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Skillset'!$F$4:$F$11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88</c:v>
                </c:pt>
                <c:pt idx="4">
                  <c:v>75</c:v>
                </c:pt>
                <c:pt idx="5">
                  <c:v>92</c:v>
                </c:pt>
                <c:pt idx="6">
                  <c:v>55</c:v>
                </c:pt>
                <c:pt idx="7">
                  <c:v>68</c:v>
                </c:pt>
              </c:numCache>
            </c:numRef>
          </c:val>
        </c:ser>
        <c:ser>
          <c:idx val="2"/>
          <c:order val="2"/>
          <c:tx>
            <c:strRef>
              <c:f>'Staff Skillset'!G3</c:f>
              <c:strCache>
                <c:ptCount val="1"/>
                <c:pt idx="0">
                  <c:v>Audience Targeting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Skillset'!$G$4:$G$11</c:f>
              <c:numCache>
                <c:formatCode>General</c:formatCode>
                <c:ptCount val="8"/>
                <c:pt idx="0">
                  <c:v>90</c:v>
                </c:pt>
                <c:pt idx="1">
                  <c:v>78</c:v>
                </c:pt>
                <c:pt idx="2">
                  <c:v>62</c:v>
                </c:pt>
                <c:pt idx="3">
                  <c:v>85</c:v>
                </c:pt>
                <c:pt idx="4">
                  <c:v>70</c:v>
                </c:pt>
                <c:pt idx="5">
                  <c:v>90</c:v>
                </c:pt>
                <c:pt idx="6">
                  <c:v>60</c:v>
                </c:pt>
                <c:pt idx="7">
                  <c:v>72</c:v>
                </c:pt>
              </c:numCache>
            </c:numRef>
          </c:val>
        </c:ser>
        <c:ser>
          <c:idx val="3"/>
          <c:order val="3"/>
          <c:tx>
            <c:strRef>
              <c:f>'Staff Skillset'!H3</c:f>
              <c:strCache>
                <c:ptCount val="1"/>
                <c:pt idx="0">
                  <c:v>Analytics</c:v>
                </c:pt>
              </c:strCache>
            </c:strRef>
          </c:tx>
          <c:spPr>
            <a:solidFill>
              <a:srgbClr val="b94d4a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Skillset'!$H$4:$H$11</c:f>
              <c:numCache>
                <c:formatCode>General</c:formatCode>
                <c:ptCount val="8"/>
                <c:pt idx="0">
                  <c:v>88</c:v>
                </c:pt>
                <c:pt idx="1">
                  <c:v>72</c:v>
                </c:pt>
                <c:pt idx="2">
                  <c:v>55</c:v>
                </c:pt>
                <c:pt idx="3">
                  <c:v>92</c:v>
                </c:pt>
                <c:pt idx="4">
                  <c:v>68</c:v>
                </c:pt>
                <c:pt idx="5">
                  <c:v>94</c:v>
                </c:pt>
                <c:pt idx="6">
                  <c:v>50</c:v>
                </c:pt>
                <c:pt idx="7">
                  <c:v>65</c:v>
                </c:pt>
              </c:numCache>
            </c:numRef>
          </c:val>
        </c:ser>
        <c:ser>
          <c:idx val="4"/>
          <c:order val="4"/>
          <c:tx>
            <c:strRef>
              <c:f>'Staff Skillset'!I3</c:f>
              <c:strCache>
                <c:ptCount val="1"/>
                <c:pt idx="0">
                  <c:v>Campaign Setup</c:v>
                </c:pt>
              </c:strCache>
            </c:strRef>
          </c:tx>
          <c:spPr>
            <a:solidFill>
              <a:srgbClr val="c56d6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Skillset'!$I$4:$I$11</c:f>
              <c:numCache>
                <c:formatCode>General</c:formatCode>
                <c:ptCount val="8"/>
                <c:pt idx="0">
                  <c:v>85</c:v>
                </c:pt>
                <c:pt idx="1">
                  <c:v>80</c:v>
                </c:pt>
                <c:pt idx="2">
                  <c:v>70</c:v>
                </c:pt>
                <c:pt idx="3">
                  <c:v>88</c:v>
                </c:pt>
                <c:pt idx="4">
                  <c:v>75</c:v>
                </c:pt>
                <c:pt idx="5">
                  <c:v>92</c:v>
                </c:pt>
                <c:pt idx="6">
                  <c:v>62</c:v>
                </c:pt>
                <c:pt idx="7">
                  <c:v>72</c:v>
                </c:pt>
              </c:numCache>
            </c:numRef>
          </c:val>
        </c:ser>
        <c:ser>
          <c:idx val="5"/>
          <c:order val="5"/>
          <c:tx>
            <c:strRef>
              <c:f>'Staff Skillset'!J3</c:f>
              <c:strCache>
                <c:ptCount val="1"/>
                <c:pt idx="0">
                  <c:v>Budget Management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Skillset'!$J$4:$J$11</c:f>
              <c:numCache>
                <c:formatCode>General</c:formatCode>
                <c:ptCount val="8"/>
                <c:pt idx="0">
                  <c:v>82</c:v>
                </c:pt>
                <c:pt idx="1">
                  <c:v>68</c:v>
                </c:pt>
                <c:pt idx="2">
                  <c:v>58</c:v>
                </c:pt>
                <c:pt idx="3">
                  <c:v>85</c:v>
                </c:pt>
                <c:pt idx="4">
                  <c:v>70</c:v>
                </c:pt>
                <c:pt idx="5">
                  <c:v>90</c:v>
                </c:pt>
                <c:pt idx="6">
                  <c:v>52</c:v>
                </c:pt>
                <c:pt idx="7">
                  <c:v>66</c:v>
                </c:pt>
              </c:numCache>
            </c:numRef>
          </c:val>
        </c:ser>
        <c:ser>
          <c:idx val="6"/>
          <c:order val="6"/>
          <c:tx>
            <c:strRef>
              <c:f>'Staff Skillset'!K3</c:f>
              <c:strCache>
                <c:ptCount val="1"/>
                <c:pt idx="0">
                  <c:v>Client Communication</c:v>
                </c:pt>
              </c:strCache>
            </c:strRef>
          </c:tx>
          <c:spPr>
            <a:solidFill>
              <a:srgbClr val="dbb0b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Skillset'!$K$4:$K$11</c:f>
              <c:numCache>
                <c:formatCode>General</c:formatCode>
                <c:ptCount val="8"/>
                <c:pt idx="0">
                  <c:v>78</c:v>
                </c:pt>
                <c:pt idx="1">
                  <c:v>82</c:v>
                </c:pt>
                <c:pt idx="2">
                  <c:v>72</c:v>
                </c:pt>
                <c:pt idx="3">
                  <c:v>90</c:v>
                </c:pt>
                <c:pt idx="4">
                  <c:v>76</c:v>
                </c:pt>
                <c:pt idx="5">
                  <c:v>95</c:v>
                </c:pt>
                <c:pt idx="6">
                  <c:v>65</c:v>
                </c:pt>
                <c:pt idx="7">
                  <c:v>74</c:v>
                </c:pt>
              </c:numCache>
            </c:numRef>
          </c:val>
        </c:ser>
        <c:ser>
          <c:idx val="7"/>
          <c:order val="7"/>
          <c:tx>
            <c:strRef>
              <c:f>'Staff Skillset'!L3</c:f>
              <c:strCache>
                <c:ptCount val="1"/>
                <c:pt idx="0">
                  <c:v>Reporting</c:v>
                </c:pt>
              </c:strCache>
            </c:strRef>
          </c:tx>
          <c:spPr>
            <a:solidFill>
              <a:srgbClr val="e5c8c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Skillset'!$B$4:$B$11</c:f>
              <c:strCache>
                <c:ptCount val="8"/>
                <c:pt idx="0">
                  <c:v>John Smith</c:v>
                </c:pt>
                <c:pt idx="1">
                  <c:v>Sarah Johnson</c:v>
                </c:pt>
                <c:pt idx="2">
                  <c:v>Mike Chen</c:v>
                </c:pt>
                <c:pt idx="3">
                  <c:v>Emily Davis</c:v>
                </c:pt>
                <c:pt idx="4">
                  <c:v>Alex Wilson</c:v>
                </c:pt>
                <c:pt idx="5">
                  <c:v>Lisa Brown</c:v>
                </c:pt>
                <c:pt idx="6">
                  <c:v>David Lee</c:v>
                </c:pt>
                <c:pt idx="7">
                  <c:v>Emma Taylor</c:v>
                </c:pt>
              </c:strCache>
            </c:strRef>
          </c:cat>
          <c:val>
            <c:numRef>
              <c:f>'Staff Skillset'!$L$4:$L$11</c:f>
              <c:numCache>
                <c:formatCode>General</c:formatCode>
                <c:ptCount val="8"/>
                <c:pt idx="0">
                  <c:v>85</c:v>
                </c:pt>
                <c:pt idx="1">
                  <c:v>70</c:v>
                </c:pt>
                <c:pt idx="2">
                  <c:v>60</c:v>
                </c:pt>
                <c:pt idx="3">
                  <c:v>88</c:v>
                </c:pt>
                <c:pt idx="4">
                  <c:v>72</c:v>
                </c:pt>
                <c:pt idx="5">
                  <c:v>92</c:v>
                </c:pt>
                <c:pt idx="6">
                  <c:v>55</c:v>
                </c:pt>
                <c:pt idx="7">
                  <c:v>68</c:v>
                </c:pt>
              </c:numCache>
            </c:numRef>
          </c:val>
        </c:ser>
        <c:gapWidth val="150"/>
        <c:overlap val="0"/>
        <c:axId val="66846915"/>
        <c:axId val="3332490"/>
      </c:barChart>
      <c:catAx>
        <c:axId val="66846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2490"/>
        <c:crosses val="autoZero"/>
        <c:auto val="1"/>
        <c:lblAlgn val="ctr"/>
        <c:lblOffset val="100"/>
        <c:noMultiLvlLbl val="0"/>
      </c:catAx>
      <c:valAx>
        <c:axId val="3332490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469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 by Client Account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'Ad Performance'!D4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 Performance'!$B$5:$B$16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'Ad Performance'!$D$5:$D$16</c:f>
              <c:numCache>
                <c:formatCode>General</c:formatCode>
                <c:ptCount val="12"/>
                <c:pt idx="0">
                  <c:v>3.8</c:v>
                </c:pt>
                <c:pt idx="1">
                  <c:v>4.2</c:v>
                </c:pt>
                <c:pt idx="2">
                  <c:v>2.9</c:v>
                </c:pt>
                <c:pt idx="3">
                  <c:v>3.1</c:v>
                </c:pt>
                <c:pt idx="4">
                  <c:v>2.2</c:v>
                </c:pt>
                <c:pt idx="5">
                  <c:v>5.1</c:v>
                </c:pt>
                <c:pt idx="6">
                  <c:v>4.8</c:v>
                </c:pt>
                <c:pt idx="7">
                  <c:v>3</c:v>
                </c:pt>
                <c:pt idx="8">
                  <c:v>5.5</c:v>
                </c:pt>
                <c:pt idx="9">
                  <c:v>5.2</c:v>
                </c:pt>
                <c:pt idx="10">
                  <c:v>1.8</c:v>
                </c:pt>
                <c:pt idx="11">
                  <c:v>2.8</c:v>
                </c:pt>
              </c:numCache>
            </c:numRef>
          </c:val>
        </c:ser>
        <c:gapWidth val="150"/>
        <c:overlap val="0"/>
        <c:axId val="80220162"/>
        <c:axId val="87617009"/>
      </c:barChart>
      <c:catAx>
        <c:axId val="80220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17009"/>
        <c:crosses val="autoZero"/>
        <c:auto val="1"/>
        <c:lblAlgn val="ctr"/>
        <c:lblOffset val="100"/>
        <c:noMultiLvlLbl val="0"/>
      </c:catAx>
      <c:valAx>
        <c:axId val="876170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20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vs Revenue by Client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'Ad Performance'!K4</c:f>
              <c:strCache>
                <c:ptCount val="1"/>
                <c:pt idx="0">
                  <c:v>Spend ($)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 Performance'!$B$5:$B$16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'Ad Performance'!$K$5:$K$16</c:f>
              <c:numCache>
                <c:formatCode>General</c:formatCode>
                <c:ptCount val="12"/>
                <c:pt idx="0">
                  <c:v>2072</c:v>
                </c:pt>
                <c:pt idx="1">
                  <c:v>2156</c:v>
                </c:pt>
                <c:pt idx="2">
                  <c:v>1595</c:v>
                </c:pt>
                <c:pt idx="3">
                  <c:v>1782</c:v>
                </c:pt>
                <c:pt idx="4">
                  <c:v>1170</c:v>
                </c:pt>
                <c:pt idx="5">
                  <c:v>3230</c:v>
                </c:pt>
                <c:pt idx="6">
                  <c:v>2944</c:v>
                </c:pt>
                <c:pt idx="7">
                  <c:v>1425</c:v>
                </c:pt>
                <c:pt idx="8">
                  <c:v>3744</c:v>
                </c:pt>
                <c:pt idx="9">
                  <c:v>3360</c:v>
                </c:pt>
                <c:pt idx="10">
                  <c:v>836</c:v>
                </c:pt>
                <c:pt idx="11">
                  <c:v>1510</c:v>
                </c:pt>
              </c:numCache>
            </c:numRef>
          </c:val>
        </c:ser>
        <c:ser>
          <c:idx val="1"/>
          <c:order val="1"/>
          <c:tx>
            <c:strRef>
              <c:f>'Ad Performance'!L4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 Performance'!$B$5:$B$16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'Ad Performance'!$L$5:$L$16</c:f>
              <c:numCache>
                <c:formatCode>General</c:formatCode>
                <c:ptCount val="12"/>
                <c:pt idx="0">
                  <c:v>7873.6</c:v>
                </c:pt>
                <c:pt idx="1">
                  <c:v>9055.2</c:v>
                </c:pt>
                <c:pt idx="2">
                  <c:v>4625.5</c:v>
                </c:pt>
                <c:pt idx="3">
                  <c:v>5524.2</c:v>
                </c:pt>
                <c:pt idx="4">
                  <c:v>2574</c:v>
                </c:pt>
                <c:pt idx="5">
                  <c:v>16473</c:v>
                </c:pt>
                <c:pt idx="6">
                  <c:v>14131.2</c:v>
                </c:pt>
                <c:pt idx="7">
                  <c:v>4275</c:v>
                </c:pt>
                <c:pt idx="8">
                  <c:v>20592</c:v>
                </c:pt>
                <c:pt idx="9">
                  <c:v>17472</c:v>
                </c:pt>
                <c:pt idx="10">
                  <c:v>1504.8</c:v>
                </c:pt>
                <c:pt idx="11">
                  <c:v>4228</c:v>
                </c:pt>
              </c:numCache>
            </c:numRef>
          </c:val>
        </c:ser>
        <c:gapWidth val="150"/>
        <c:overlap val="0"/>
        <c:axId val="43071927"/>
        <c:axId val="76311082"/>
      </c:barChart>
      <c:catAx>
        <c:axId val="43071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11082"/>
        <c:crosses val="autoZero"/>
        <c:auto val="1"/>
        <c:lblAlgn val="ctr"/>
        <c:lblOffset val="100"/>
        <c:noMultiLvlLbl val="0"/>
      </c:catAx>
      <c:valAx>
        <c:axId val="763110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71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CPA by Client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'Ad Performance'!E4</c:f>
              <c:strCache>
                <c:ptCount val="1"/>
                <c:pt idx="0">
                  <c:v>CPA ($)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 Performance'!$B$5:$B$16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'Ad Performance'!$E$5:$E$16</c:f>
              <c:numCache>
                <c:formatCode>General</c:formatCode>
                <c:ptCount val="12"/>
                <c:pt idx="0">
                  <c:v>11.2</c:v>
                </c:pt>
                <c:pt idx="1">
                  <c:v>9.8</c:v>
                </c:pt>
                <c:pt idx="2">
                  <c:v>14.5</c:v>
                </c:pt>
                <c:pt idx="3">
                  <c:v>13.2</c:v>
                </c:pt>
                <c:pt idx="4">
                  <c:v>18</c:v>
                </c:pt>
                <c:pt idx="5">
                  <c:v>8.5</c:v>
                </c:pt>
                <c:pt idx="6">
                  <c:v>9.2</c:v>
                </c:pt>
                <c:pt idx="7">
                  <c:v>15</c:v>
                </c:pt>
                <c:pt idx="8">
                  <c:v>7.8</c:v>
                </c:pt>
                <c:pt idx="9">
                  <c:v>8</c:v>
                </c:pt>
                <c:pt idx="10">
                  <c:v>22</c:v>
                </c:pt>
                <c:pt idx="11">
                  <c:v>14.8</c:v>
                </c:pt>
              </c:numCache>
            </c:numRef>
          </c:val>
        </c:ser>
        <c:gapWidth val="150"/>
        <c:overlap val="0"/>
        <c:axId val="11122877"/>
        <c:axId val="20053140"/>
      </c:barChart>
      <c:catAx>
        <c:axId val="1112287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CPA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53140"/>
        <c:crosses val="autoZero"/>
        <c:auto val="1"/>
        <c:lblAlgn val="ctr"/>
        <c:lblOffset val="100"/>
        <c:noMultiLvlLbl val="0"/>
      </c:catAx>
      <c:valAx>
        <c:axId val="200531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228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Performance Score by Account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'Ad Performance'!O4</c:f>
              <c:strCache>
                <c:ptCount val="1"/>
                <c:pt idx="0">
                  <c:v>Performance Score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 Performance'!$B$5:$B$16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'Ad Performance'!$O$5:$O$16</c:f>
              <c:numCache>
                <c:formatCode>General</c:formatCode>
                <c:ptCount val="12"/>
                <c:pt idx="0">
                  <c:v>195.638095238095</c:v>
                </c:pt>
                <c:pt idx="1">
                  <c:v>199.544444444444</c:v>
                </c:pt>
                <c:pt idx="2">
                  <c:v>165.413742690058</c:v>
                </c:pt>
                <c:pt idx="3">
                  <c:v>172.196650717703</c:v>
                </c:pt>
                <c:pt idx="4">
                  <c:v>140.952380952381</c:v>
                </c:pt>
                <c:pt idx="5">
                  <c:v>232.238636363636</c:v>
                </c:pt>
                <c:pt idx="6">
                  <c:v>222.693545534925</c:v>
                </c:pt>
                <c:pt idx="7">
                  <c:v>166.251336898396</c:v>
                </c:pt>
                <c:pt idx="8">
                  <c:v>243.089795918367</c:v>
                </c:pt>
                <c:pt idx="9">
                  <c:v>234.454545454545</c:v>
                </c:pt>
                <c:pt idx="10">
                  <c:v>126.404958677686</c:v>
                </c:pt>
                <c:pt idx="11">
                  <c:v>163.246739130435</c:v>
                </c:pt>
              </c:numCache>
            </c:numRef>
          </c:val>
        </c:ser>
        <c:gapWidth val="150"/>
        <c:overlap val="0"/>
        <c:axId val="92858253"/>
        <c:axId val="17951800"/>
      </c:barChart>
      <c:catAx>
        <c:axId val="928582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51800"/>
        <c:crosses val="autoZero"/>
        <c:auto val="1"/>
        <c:lblAlgn val="ctr"/>
        <c:lblOffset val="100"/>
        <c:noMultiLvlLbl val="0"/>
      </c:catAx>
      <c:valAx>
        <c:axId val="179518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58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Budget vs MTD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'Client Accounts'!E3</c:f>
              <c:strCache>
                <c:ptCount val="1"/>
                <c:pt idx="0">
                  <c:v>Monthly Budget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'Client Accounts'!$A$4:$A$15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'Client Accounts'!$E$4:$E$15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4000</c:v>
                </c:pt>
                <c:pt idx="3">
                  <c:v>4500</c:v>
                </c:pt>
                <c:pt idx="4">
                  <c:v>3000</c:v>
                </c:pt>
                <c:pt idx="5">
                  <c:v>8000</c:v>
                </c:pt>
                <c:pt idx="6">
                  <c:v>7000</c:v>
                </c:pt>
                <c:pt idx="7">
                  <c:v>3500</c:v>
                </c:pt>
                <c:pt idx="8">
                  <c:v>10000</c:v>
                </c:pt>
                <c:pt idx="9">
                  <c:v>9000</c:v>
                </c:pt>
                <c:pt idx="10">
                  <c:v>2000</c:v>
                </c:pt>
                <c:pt idx="11">
                  <c:v>3500</c:v>
                </c:pt>
              </c:numCache>
            </c:numRef>
          </c:val>
        </c:ser>
        <c:ser>
          <c:idx val="1"/>
          <c:order val="1"/>
          <c:tx>
            <c:strRef>
              <c:f>'Client Accounts'!F3</c:f>
              <c:strCache>
                <c:ptCount val="1"/>
                <c:pt idx="0">
                  <c:v>MTD Spend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'Client Accounts'!$A$4:$A$15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'Client Accounts'!$F$4:$F$15</c:f>
              <c:numCache>
                <c:formatCode>General</c:formatCode>
                <c:ptCount val="12"/>
                <c:pt idx="0">
                  <c:v>2072</c:v>
                </c:pt>
                <c:pt idx="1">
                  <c:v>2156</c:v>
                </c:pt>
                <c:pt idx="2">
                  <c:v>1595</c:v>
                </c:pt>
                <c:pt idx="3">
                  <c:v>1782</c:v>
                </c:pt>
                <c:pt idx="4">
                  <c:v>1170</c:v>
                </c:pt>
                <c:pt idx="5">
                  <c:v>3230</c:v>
                </c:pt>
                <c:pt idx="6">
                  <c:v>2944</c:v>
                </c:pt>
                <c:pt idx="7">
                  <c:v>1425</c:v>
                </c:pt>
                <c:pt idx="8">
                  <c:v>3744</c:v>
                </c:pt>
                <c:pt idx="9">
                  <c:v>3360</c:v>
                </c:pt>
                <c:pt idx="10">
                  <c:v>836</c:v>
                </c:pt>
                <c:pt idx="11">
                  <c:v>1510</c:v>
                </c:pt>
              </c:numCache>
            </c:numRef>
          </c:val>
        </c:ser>
        <c:gapWidth val="150"/>
        <c:overlap val="0"/>
        <c:axId val="44632682"/>
        <c:axId val="15265143"/>
      </c:barChart>
      <c:catAx>
        <c:axId val="446326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65143"/>
        <c:crosses val="autoZero"/>
        <c:auto val="1"/>
        <c:lblAlgn val="ctr"/>
        <c:lblOffset val="100"/>
        <c:noMultiLvlLbl val="0"/>
      </c:catAx>
      <c:valAx>
        <c:axId val="152651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32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ROAS: Target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'Client Accounts'!I3</c:f>
              <c:strCache>
                <c:ptCount val="1"/>
                <c:pt idx="0">
                  <c:v>ROAS Target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'Client Accounts'!$A$4:$A$15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'Client Accounts'!$I$4:$I$15</c:f>
              <c:numCache>
                <c:formatCode>General</c:formatCode>
                <c:ptCount val="12"/>
                <c:pt idx="0">
                  <c:v>3.8</c:v>
                </c:pt>
                <c:pt idx="1">
                  <c:v>4.2</c:v>
                </c:pt>
                <c:pt idx="2">
                  <c:v>2.9</c:v>
                </c:pt>
                <c:pt idx="3">
                  <c:v>3.1</c:v>
                </c:pt>
                <c:pt idx="4">
                  <c:v>2.2</c:v>
                </c:pt>
                <c:pt idx="5">
                  <c:v>5.1</c:v>
                </c:pt>
                <c:pt idx="6">
                  <c:v>4.8</c:v>
                </c:pt>
                <c:pt idx="7">
                  <c:v>3</c:v>
                </c:pt>
                <c:pt idx="8">
                  <c:v>5.5</c:v>
                </c:pt>
                <c:pt idx="9">
                  <c:v>5.2</c:v>
                </c:pt>
                <c:pt idx="10">
                  <c:v>1.8</c:v>
                </c:pt>
                <c:pt idx="11">
                  <c:v>2.8</c:v>
                </c:pt>
              </c:numCache>
            </c:numRef>
          </c:val>
        </c:ser>
        <c:ser>
          <c:idx val="1"/>
          <c:order val="1"/>
          <c:tx>
            <c:strRef>
              <c:f>'Client Accounts'!J3</c:f>
              <c:strCache>
                <c:ptCount val="1"/>
                <c:pt idx="0">
                  <c:v>Actual ROAS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'Client Accounts'!$A$4:$A$15</c:f>
              <c:strCache>
                <c:ptCount val="12"/>
                <c:pt idx="0">
                  <c:v>Client A</c:v>
                </c:pt>
                <c:pt idx="1">
                  <c:v>Client B</c:v>
                </c:pt>
                <c:pt idx="2">
                  <c:v>Client C</c:v>
                </c:pt>
                <c:pt idx="3">
                  <c:v>Client D</c:v>
                </c:pt>
                <c:pt idx="4">
                  <c:v>Client E</c:v>
                </c:pt>
                <c:pt idx="5">
                  <c:v>Client F</c:v>
                </c:pt>
                <c:pt idx="6">
                  <c:v>Client G</c:v>
                </c:pt>
                <c:pt idx="7">
                  <c:v>Client H</c:v>
                </c:pt>
                <c:pt idx="8">
                  <c:v>Client I</c:v>
                </c:pt>
                <c:pt idx="9">
                  <c:v>Client J</c:v>
                </c:pt>
                <c:pt idx="10">
                  <c:v>Client K</c:v>
                </c:pt>
                <c:pt idx="11">
                  <c:v>Client L</c:v>
                </c:pt>
              </c:strCache>
            </c:strRef>
          </c:cat>
          <c:val>
            <c:numRef>
              <c:f>'Client Accounts'!$J$4:$J$15</c:f>
              <c:numCache>
                <c:formatCode>General</c:formatCode>
                <c:ptCount val="12"/>
              </c:numCache>
            </c:numRef>
          </c:val>
        </c:ser>
        <c:gapWidth val="150"/>
        <c:overlap val="0"/>
        <c:axId val="50250910"/>
        <c:axId val="84356162"/>
      </c:barChart>
      <c:catAx>
        <c:axId val="50250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56162"/>
        <c:crosses val="autoZero"/>
        <c:auto val="1"/>
        <c:lblAlgn val="ctr"/>
        <c:lblOffset val="100"/>
        <c:noMultiLvlLbl val="0"/>
      </c:catAx>
      <c:valAx>
        <c:axId val="843561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509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ROAS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Trends'!D3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Trends'!$A$4:$A$11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'Weekly Trends'!$D$4:$D$11</c:f>
              <c:numCache>
                <c:formatCode>General</c:formatCode>
                <c:ptCount val="8"/>
                <c:pt idx="0">
                  <c:v>3.3</c:v>
                </c:pt>
                <c:pt idx="1">
                  <c:v>3.4</c:v>
                </c:pt>
                <c:pt idx="2">
                  <c:v>3.5</c:v>
                </c:pt>
                <c:pt idx="3">
                  <c:v>3.6</c:v>
                </c:pt>
                <c:pt idx="4">
                  <c:v>3.5</c:v>
                </c:pt>
                <c:pt idx="5">
                  <c:v>3.7</c:v>
                </c:pt>
                <c:pt idx="6">
                  <c:v>3.8</c:v>
                </c:pt>
                <c:pt idx="7">
                  <c:v>3.9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289821"/>
        <c:axId val="5322573"/>
      </c:lineChart>
      <c:catAx>
        <c:axId val="62898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2573"/>
        <c:crosses val="autoZero"/>
        <c:auto val="1"/>
        <c:lblAlgn val="ctr"/>
        <c:lblOffset val="100"/>
        <c:noMultiLvlLbl val="0"/>
      </c:catAx>
      <c:valAx>
        <c:axId val="53225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8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Spend &amp;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'Weekly Trends'!B3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Trends'!$A$4:$A$11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'Weekly Trends'!$B$4:$B$11</c:f>
              <c:numCache>
                <c:formatCode>General</c:formatCode>
                <c:ptCount val="8"/>
                <c:pt idx="0">
                  <c:v>42000</c:v>
                </c:pt>
                <c:pt idx="1">
                  <c:v>45000</c:v>
                </c:pt>
                <c:pt idx="2">
                  <c:v>48500</c:v>
                </c:pt>
                <c:pt idx="3">
                  <c:v>50000</c:v>
                </c:pt>
                <c:pt idx="4">
                  <c:v>47500</c:v>
                </c:pt>
                <c:pt idx="5">
                  <c:v>52000</c:v>
                </c:pt>
                <c:pt idx="6">
                  <c:v>55000</c:v>
                </c:pt>
                <c:pt idx="7">
                  <c:v>58000</c:v>
                </c:pt>
              </c:numCache>
            </c:numRef>
          </c:val>
        </c:ser>
        <c:ser>
          <c:idx val="1"/>
          <c:order val="1"/>
          <c:tx>
            <c:strRef>
              <c:f>'Weekly Trends'!C3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b8cd97"/>
            </a:solidFill>
            <a:ln w="0">
              <a:solidFill>
                <a:srgbClr val="000000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Trends'!$A$4:$A$11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'Weekly Trends'!$C$4:$C$11</c:f>
              <c:numCache>
                <c:formatCode>General</c:formatCode>
                <c:ptCount val="8"/>
                <c:pt idx="0">
                  <c:v>138600</c:v>
                </c:pt>
                <c:pt idx="1">
                  <c:v>153000</c:v>
                </c:pt>
                <c:pt idx="2">
                  <c:v>169750</c:v>
                </c:pt>
                <c:pt idx="3">
                  <c:v>180000</c:v>
                </c:pt>
                <c:pt idx="4">
                  <c:v>166250</c:v>
                </c:pt>
                <c:pt idx="5">
                  <c:v>192400</c:v>
                </c:pt>
                <c:pt idx="6">
                  <c:v>209000</c:v>
                </c:pt>
                <c:pt idx="7">
                  <c:v>226200</c:v>
                </c:pt>
              </c:numCache>
            </c:numRef>
          </c:val>
        </c:ser>
        <c:axId val="45287723"/>
        <c:axId val="38474395"/>
      </c:areaChart>
      <c:catAx>
        <c:axId val="45287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74395"/>
        <c:crosses val="autoZero"/>
        <c:auto val="1"/>
        <c:lblAlgn val="ctr"/>
        <c:lblOffset val="100"/>
        <c:noMultiLvlLbl val="0"/>
      </c:catAx>
      <c:valAx>
        <c:axId val="384743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772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Conversions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Trends'!E3</c:f>
              <c:strCache>
                <c:ptCount val="1"/>
                <c:pt idx="0">
                  <c:v>Total Conversions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diamond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Trends'!$A$4:$A$11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'Weekly Trends'!$E$4:$E$11</c:f>
              <c:numCache>
                <c:formatCode>General</c:formatCode>
                <c:ptCount val="8"/>
                <c:pt idx="0">
                  <c:v>3200</c:v>
                </c:pt>
                <c:pt idx="1">
                  <c:v>3450</c:v>
                </c:pt>
                <c:pt idx="2">
                  <c:v>3720</c:v>
                </c:pt>
                <c:pt idx="3">
                  <c:v>3900</c:v>
                </c:pt>
                <c:pt idx="4">
                  <c:v>3650</c:v>
                </c:pt>
                <c:pt idx="5">
                  <c:v>4100</c:v>
                </c:pt>
                <c:pt idx="6">
                  <c:v>4350</c:v>
                </c:pt>
                <c:pt idx="7">
                  <c:v>4600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2423091"/>
        <c:axId val="89499101"/>
      </c:lineChart>
      <c:catAx>
        <c:axId val="72423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99101"/>
        <c:crosses val="autoZero"/>
        <c:auto val="1"/>
        <c:lblAlgn val="ctr"/>
        <c:lblOffset val="100"/>
        <c:noMultiLvlLbl val="0"/>
      </c:catAx>
      <c:valAx>
        <c:axId val="894991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23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Average CPA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Trends'!F3</c:f>
              <c:strCache>
                <c:ptCount val="1"/>
                <c:pt idx="0">
                  <c:v>Avg CPA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squar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Trends'!$A$4:$A$11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'Weekly Trends'!$F$4:$F$11</c:f>
              <c:numCache>
                <c:formatCode>General</c:formatCode>
                <c:ptCount val="8"/>
                <c:pt idx="0">
                  <c:v>13.13</c:v>
                </c:pt>
                <c:pt idx="1">
                  <c:v>13.04</c:v>
                </c:pt>
                <c:pt idx="2">
                  <c:v>13.04</c:v>
                </c:pt>
                <c:pt idx="3">
                  <c:v>12.82</c:v>
                </c:pt>
                <c:pt idx="4">
                  <c:v>13.01</c:v>
                </c:pt>
                <c:pt idx="5">
                  <c:v>12.68</c:v>
                </c:pt>
                <c:pt idx="6">
                  <c:v>12.64</c:v>
                </c:pt>
                <c:pt idx="7">
                  <c:v>12.61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7753239"/>
        <c:axId val="41860402"/>
      </c:lineChart>
      <c:catAx>
        <c:axId val="97753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60402"/>
        <c:crosses val="autoZero"/>
        <c:auto val="1"/>
        <c:lblAlgn val="ctr"/>
        <c:lblOffset val="100"/>
        <c:noMultiLvlLbl val="0"/>
      </c:catAx>
      <c:valAx>
        <c:axId val="418604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CPA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532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507600</xdr:colOff>
      <xdr:row>21</xdr:row>
      <xdr:rowOff>113760</xdr:rowOff>
    </xdr:to>
    <xdr:graphicFrame>
      <xdr:nvGraphicFramePr>
        <xdr:cNvPr id="0" name="Chart 1"/>
        <xdr:cNvGraphicFramePr/>
      </xdr:nvGraphicFramePr>
      <xdr:xfrm>
        <a:off x="6391440" y="6573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14</xdr:col>
      <xdr:colOff>507600</xdr:colOff>
      <xdr:row>33</xdr:row>
      <xdr:rowOff>170640</xdr:rowOff>
    </xdr:to>
    <xdr:graphicFrame>
      <xdr:nvGraphicFramePr>
        <xdr:cNvPr id="1" name="Chart 2"/>
        <xdr:cNvGraphicFramePr/>
      </xdr:nvGraphicFramePr>
      <xdr:xfrm>
        <a:off x="6391440" y="30002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0</xdr:rowOff>
    </xdr:from>
    <xdr:to>
      <xdr:col>4</xdr:col>
      <xdr:colOff>231480</xdr:colOff>
      <xdr:row>50</xdr:row>
      <xdr:rowOff>170640</xdr:rowOff>
    </xdr:to>
    <xdr:graphicFrame>
      <xdr:nvGraphicFramePr>
        <xdr:cNvPr id="2" name="Chart 1"/>
        <xdr:cNvGraphicFramePr/>
      </xdr:nvGraphicFramePr>
      <xdr:xfrm>
        <a:off x="0" y="615312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32</xdr:row>
      <xdr:rowOff>0</xdr:rowOff>
    </xdr:from>
    <xdr:to>
      <xdr:col>10</xdr:col>
      <xdr:colOff>1208520</xdr:colOff>
      <xdr:row>54</xdr:row>
      <xdr:rowOff>128520</xdr:rowOff>
    </xdr:to>
    <xdr:graphicFrame>
      <xdr:nvGraphicFramePr>
        <xdr:cNvPr id="3" name="Chart 2"/>
        <xdr:cNvGraphicFramePr/>
      </xdr:nvGraphicFramePr>
      <xdr:xfrm>
        <a:off x="4088160" y="615312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7</xdr:col>
      <xdr:colOff>840960</xdr:colOff>
      <xdr:row>43</xdr:row>
      <xdr:rowOff>140760</xdr:rowOff>
    </xdr:to>
    <xdr:graphicFrame>
      <xdr:nvGraphicFramePr>
        <xdr:cNvPr id="4" name="Chart 1"/>
        <xdr:cNvGraphicFramePr/>
      </xdr:nvGraphicFramePr>
      <xdr:xfrm>
        <a:off x="0" y="4819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24</xdr:row>
      <xdr:rowOff>160560</xdr:rowOff>
    </xdr:from>
    <xdr:to>
      <xdr:col>16</xdr:col>
      <xdr:colOff>559080</xdr:colOff>
      <xdr:row>43</xdr:row>
      <xdr:rowOff>140760</xdr:rowOff>
    </xdr:to>
    <xdr:graphicFrame>
      <xdr:nvGraphicFramePr>
        <xdr:cNvPr id="5" name="Chart 2"/>
        <xdr:cNvGraphicFramePr/>
      </xdr:nvGraphicFramePr>
      <xdr:xfrm>
        <a:off x="8176320" y="4819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160920</xdr:rowOff>
    </xdr:from>
    <xdr:to>
      <xdr:col>6</xdr:col>
      <xdr:colOff>105840</xdr:colOff>
      <xdr:row>63</xdr:row>
      <xdr:rowOff>99000</xdr:rowOff>
    </xdr:to>
    <xdr:graphicFrame>
      <xdr:nvGraphicFramePr>
        <xdr:cNvPr id="6" name="Chart 3"/>
        <xdr:cNvGraphicFramePr/>
      </xdr:nvGraphicFramePr>
      <xdr:xfrm>
        <a:off x="0" y="78678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40</xdr:row>
      <xdr:rowOff>160920</xdr:rowOff>
    </xdr:from>
    <xdr:to>
      <xdr:col>16</xdr:col>
      <xdr:colOff>559080</xdr:colOff>
      <xdr:row>63</xdr:row>
      <xdr:rowOff>99000</xdr:rowOff>
    </xdr:to>
    <xdr:graphicFrame>
      <xdr:nvGraphicFramePr>
        <xdr:cNvPr id="7" name="Chart 4"/>
        <xdr:cNvGraphicFramePr/>
      </xdr:nvGraphicFramePr>
      <xdr:xfrm>
        <a:off x="8176320" y="78678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160560</xdr:rowOff>
    </xdr:from>
    <xdr:to>
      <xdr:col>6</xdr:col>
      <xdr:colOff>840960</xdr:colOff>
      <xdr:row>37</xdr:row>
      <xdr:rowOff>140760</xdr:rowOff>
    </xdr:to>
    <xdr:graphicFrame>
      <xdr:nvGraphicFramePr>
        <xdr:cNvPr id="8" name="Chart 1"/>
        <xdr:cNvGraphicFramePr/>
      </xdr:nvGraphicFramePr>
      <xdr:xfrm>
        <a:off x="0" y="3676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160560</xdr:rowOff>
    </xdr:from>
    <xdr:to>
      <xdr:col>19</xdr:col>
      <xdr:colOff>366480</xdr:colOff>
      <xdr:row>37</xdr:row>
      <xdr:rowOff>140760</xdr:rowOff>
    </xdr:to>
    <xdr:graphicFrame>
      <xdr:nvGraphicFramePr>
        <xdr:cNvPr id="9" name="Chart 2"/>
        <xdr:cNvGraphicFramePr/>
      </xdr:nvGraphicFramePr>
      <xdr:xfrm>
        <a:off x="9163080" y="3676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160560</xdr:rowOff>
    </xdr:from>
    <xdr:to>
      <xdr:col>6</xdr:col>
      <xdr:colOff>42840</xdr:colOff>
      <xdr:row>33</xdr:row>
      <xdr:rowOff>140760</xdr:rowOff>
    </xdr:to>
    <xdr:graphicFrame>
      <xdr:nvGraphicFramePr>
        <xdr:cNvPr id="10" name="Chart 1"/>
        <xdr:cNvGraphicFramePr/>
      </xdr:nvGraphicFramePr>
      <xdr:xfrm>
        <a:off x="0" y="29145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160560</xdr:rowOff>
    </xdr:from>
    <xdr:to>
      <xdr:col>17</xdr:col>
      <xdr:colOff>507600</xdr:colOff>
      <xdr:row>33</xdr:row>
      <xdr:rowOff>140760</xdr:rowOff>
    </xdr:to>
    <xdr:graphicFrame>
      <xdr:nvGraphicFramePr>
        <xdr:cNvPr id="11" name="Chart 2"/>
        <xdr:cNvGraphicFramePr/>
      </xdr:nvGraphicFramePr>
      <xdr:xfrm>
        <a:off x="8176320" y="291456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160560</xdr:rowOff>
    </xdr:from>
    <xdr:to>
      <xdr:col>6</xdr:col>
      <xdr:colOff>42840</xdr:colOff>
      <xdr:row>49</xdr:row>
      <xdr:rowOff>140760</xdr:rowOff>
    </xdr:to>
    <xdr:graphicFrame>
      <xdr:nvGraphicFramePr>
        <xdr:cNvPr id="12" name="Chart 3"/>
        <xdr:cNvGraphicFramePr/>
      </xdr:nvGraphicFramePr>
      <xdr:xfrm>
        <a:off x="0" y="5962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160560</xdr:rowOff>
    </xdr:from>
    <xdr:to>
      <xdr:col>17</xdr:col>
      <xdr:colOff>507600</xdr:colOff>
      <xdr:row>49</xdr:row>
      <xdr:rowOff>140760</xdr:rowOff>
    </xdr:to>
    <xdr:graphicFrame>
      <xdr:nvGraphicFramePr>
        <xdr:cNvPr id="13" name="Chart 4"/>
        <xdr:cNvGraphicFramePr/>
      </xdr:nvGraphicFramePr>
      <xdr:xfrm>
        <a:off x="8176320" y="59626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" t="s">
        <v>1</v>
      </c>
      <c r="B2" s="3" t="s">
        <v>2</v>
      </c>
    </row>
    <row r="4" customFormat="false" ht="17.25" hidden="false" customHeight="true" outlineLevel="0" collapsed="false">
      <c r="A4" s="4" t="s">
        <v>3</v>
      </c>
      <c r="J4" s="5" t="s">
        <v>4</v>
      </c>
      <c r="K4" s="5" t="s">
        <v>5</v>
      </c>
      <c r="L4" s="5" t="s">
        <v>6</v>
      </c>
    </row>
    <row r="5" customFormat="false" ht="15" hidden="false" customHeight="true" outlineLevel="0" collapsed="false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J5" s="5" t="s">
        <v>12</v>
      </c>
      <c r="K5" s="0" t="n">
        <v>84.1</v>
      </c>
      <c r="L5" s="0" t="n">
        <v>4</v>
      </c>
    </row>
    <row r="6" customFormat="false" ht="15" hidden="false" customHeight="true" outlineLevel="0" collapsed="false">
      <c r="A6" s="7" t="s">
        <v>13</v>
      </c>
      <c r="B6" s="7" t="n">
        <v>8</v>
      </c>
      <c r="C6" s="7" t="n">
        <v>10</v>
      </c>
      <c r="D6" s="7" t="n">
        <f aca="false">B6-C6</f>
        <v>-2</v>
      </c>
      <c r="E6" s="7" t="str">
        <f aca="false">IF(D6&gt;=0,"✓ On Track","⚠ Below Target")</f>
        <v>⚠ Below Target</v>
      </c>
      <c r="J6" s="5" t="s">
        <v>14</v>
      </c>
      <c r="K6" s="0" t="n">
        <v>74.4</v>
      </c>
      <c r="L6" s="0" t="n">
        <v>3</v>
      </c>
    </row>
    <row r="7" customFormat="false" ht="15" hidden="false" customHeight="true" outlineLevel="0" collapsed="false">
      <c r="A7" s="8" t="s">
        <v>15</v>
      </c>
      <c r="B7" s="8" t="n">
        <v>75</v>
      </c>
      <c r="C7" s="8" t="n">
        <v>80</v>
      </c>
      <c r="D7" s="8" t="n">
        <f aca="false">B7-C7</f>
        <v>-5</v>
      </c>
      <c r="E7" s="8" t="str">
        <f aca="false">IF(D7&gt;=0,"✓ On Track","⚠ Below Target")</f>
        <v>⚠ Below Target</v>
      </c>
      <c r="J7" s="5" t="s">
        <v>16</v>
      </c>
      <c r="K7" s="0" t="n">
        <v>62.8</v>
      </c>
      <c r="L7" s="0" t="n">
        <v>2.2</v>
      </c>
    </row>
    <row r="8" customFormat="false" ht="15" hidden="false" customHeight="true" outlineLevel="0" collapsed="false">
      <c r="A8" s="7" t="s">
        <v>17</v>
      </c>
      <c r="B8" s="7" t="n">
        <v>15</v>
      </c>
      <c r="C8" s="7" t="n">
        <v>15</v>
      </c>
      <c r="D8" s="7" t="n">
        <f aca="false">B8-C8</f>
        <v>0</v>
      </c>
      <c r="E8" s="7" t="str">
        <f aca="false">IF(D8&gt;=0,"✓ On Track","⚠ Below Target")</f>
        <v>✓ On Track</v>
      </c>
      <c r="J8" s="5" t="s">
        <v>18</v>
      </c>
      <c r="K8" s="0" t="n">
        <v>88.3</v>
      </c>
      <c r="L8" s="0" t="n">
        <v>4.95</v>
      </c>
    </row>
    <row r="9" customFormat="false" ht="15" hidden="false" customHeight="true" outlineLevel="0" collapsed="false">
      <c r="A9" s="8" t="s">
        <v>19</v>
      </c>
      <c r="B9" s="8" t="n">
        <v>3.2</v>
      </c>
      <c r="C9" s="8" t="n">
        <v>3</v>
      </c>
      <c r="D9" s="8" t="n">
        <f aca="false">B9-C9</f>
        <v>0.2</v>
      </c>
      <c r="E9" s="8" t="str">
        <f aca="false">IF(D9&gt;=0,"✓ On Track","⚠ Below Target")</f>
        <v>✓ On Track</v>
      </c>
      <c r="J9" s="5" t="s">
        <v>20</v>
      </c>
      <c r="K9" s="0" t="n">
        <v>72.3</v>
      </c>
      <c r="L9" s="0" t="n">
        <v>3</v>
      </c>
    </row>
    <row r="10" customFormat="false" ht="15" hidden="false" customHeight="true" outlineLevel="0" collapsed="false">
      <c r="A10" s="7" t="s">
        <v>21</v>
      </c>
      <c r="B10" s="7" t="n">
        <v>12.5</v>
      </c>
      <c r="C10" s="7" t="n">
        <v>15</v>
      </c>
      <c r="D10" s="7" t="n">
        <f aca="false">B10-C10</f>
        <v>-2.5</v>
      </c>
      <c r="E10" s="7" t="str">
        <f aca="false">IF(D10&gt;=0,"✓ On Track","⚠ Below Target")</f>
        <v>⚠ Below Target</v>
      </c>
      <c r="J10" s="5" t="s">
        <v>22</v>
      </c>
      <c r="K10" s="0" t="n">
        <v>92.5</v>
      </c>
      <c r="L10" s="0" t="n">
        <v>5.35</v>
      </c>
    </row>
    <row r="11" customFormat="false" ht="15" hidden="false" customHeight="true" outlineLevel="0" collapsed="false">
      <c r="A11" s="8" t="s">
        <v>23</v>
      </c>
      <c r="B11" s="8" t="n">
        <v>50000</v>
      </c>
      <c r="C11" s="8" t="n">
        <v>55000</v>
      </c>
      <c r="D11" s="8" t="n">
        <f aca="false">B11-C11</f>
        <v>-5000</v>
      </c>
      <c r="E11" s="8" t="str">
        <f aca="false">IF(D11&gt;=0,"✓ On Track","⚠ Below Target")</f>
        <v>⚠ Below Target</v>
      </c>
      <c r="J11" s="5" t="s">
        <v>24</v>
      </c>
      <c r="K11" s="0" t="n">
        <v>57.1</v>
      </c>
      <c r="L11" s="0" t="n">
        <v>1.8</v>
      </c>
    </row>
    <row r="12" customFormat="false" ht="15" hidden="false" customHeight="true" outlineLevel="0" collapsed="false">
      <c r="A12" s="7" t="s">
        <v>25</v>
      </c>
      <c r="B12" s="7" t="n">
        <v>2.8</v>
      </c>
      <c r="C12" s="7" t="n">
        <v>2.5</v>
      </c>
      <c r="D12" s="7" t="n">
        <f aca="false">B12-C12</f>
        <v>0.3</v>
      </c>
      <c r="E12" s="7" t="str">
        <f aca="false">IF(D12&gt;=0,"✓ On Track","⚠ Below Target")</f>
        <v>✓ On Track</v>
      </c>
      <c r="J12" s="5" t="s">
        <v>26</v>
      </c>
      <c r="K12" s="0" t="n">
        <v>69.4</v>
      </c>
      <c r="L12" s="0" t="n">
        <v>2.8</v>
      </c>
    </row>
    <row r="15" customFormat="false" ht="17.25" hidden="false" customHeight="true" outlineLevel="0" collapsed="false">
      <c r="A15" s="4" t="s">
        <v>27</v>
      </c>
    </row>
    <row r="16" customFormat="false" ht="15" hidden="false" customHeight="true" outlineLevel="0" collapsed="false">
      <c r="A16" s="6" t="s">
        <v>28</v>
      </c>
      <c r="B16" s="6" t="s">
        <v>29</v>
      </c>
      <c r="C16" s="6" t="s">
        <v>6</v>
      </c>
      <c r="D16" s="6" t="s">
        <v>30</v>
      </c>
      <c r="E16" s="6" t="s">
        <v>31</v>
      </c>
    </row>
    <row r="17" customFormat="false" ht="15" hidden="false" customHeight="true" outlineLevel="0" collapsed="false">
      <c r="A17" s="8" t="n">
        <v>1</v>
      </c>
      <c r="B17" s="8" t="str">
        <f aca="false">IFERROR(INDEX('Ad Performance'!A:A,MATCH(LARGE('Ad Performance'!D:D,1),'Ad Performance'!D:D,0)),"-")</f>
        <v>Lisa Brown</v>
      </c>
      <c r="C17" s="8"/>
      <c r="D17" s="8"/>
      <c r="E17" s="8"/>
    </row>
    <row r="18" customFormat="false" ht="15" hidden="false" customHeight="true" outlineLevel="0" collapsed="false">
      <c r="A18" s="8" t="n">
        <v>2</v>
      </c>
      <c r="B18" s="8" t="str">
        <f aca="false">IFERROR(INDEX('Ad Performance'!A:A,MATCH(LARGE('Ad Performance'!D:D,2),'Ad Performance'!D:D,0)),"-")</f>
        <v>Lisa Brown</v>
      </c>
      <c r="C18" s="8"/>
      <c r="D18" s="8"/>
      <c r="E18" s="8"/>
    </row>
    <row r="19" customFormat="false" ht="15" hidden="false" customHeight="true" outlineLevel="0" collapsed="false">
      <c r="A19" s="8" t="n">
        <v>3</v>
      </c>
      <c r="B19" s="8" t="str">
        <f aca="false">IFERROR(INDEX('Ad Performance'!A:A,MATCH(LARGE('Ad Performance'!D:D,3),'Ad Performance'!D:D,0)),"-")</f>
        <v>Emily Davis</v>
      </c>
      <c r="C19" s="8"/>
      <c r="D19" s="8"/>
      <c r="E19" s="8"/>
    </row>
    <row r="20" customFormat="false" ht="15" hidden="false" customHeight="true" outlineLevel="0" collapsed="false">
      <c r="A20" s="8" t="n">
        <v>4</v>
      </c>
      <c r="B20" s="8" t="str">
        <f aca="false">IFERROR(INDEX('Ad Performance'!A:A,MATCH(LARGE('Ad Performance'!D:D,4),'Ad Performance'!D:D,0)),"-")</f>
        <v>Emily Davis</v>
      </c>
      <c r="C20" s="8"/>
      <c r="D20" s="8"/>
      <c r="E20" s="8"/>
    </row>
    <row r="21" customFormat="false" ht="15" hidden="false" customHeight="true" outlineLevel="0" collapsed="false">
      <c r="A21" s="8" t="n">
        <v>5</v>
      </c>
      <c r="B21" s="8" t="str">
        <f aca="false">IFERROR(INDEX('Ad Performance'!A:A,MATCH(LARGE('Ad Performance'!D:D,5),'Ad Performance'!D:D,0)),"-")</f>
        <v>John Smith</v>
      </c>
      <c r="C21" s="8"/>
      <c r="D21" s="8"/>
      <c r="E21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5" min="4" style="1" width="12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0"/>
    <col collapsed="false" customWidth="true" hidden="false" outlineLevel="0" max="15" min="15" style="1" width="15"/>
  </cols>
  <sheetData>
    <row r="1" customFormat="false" ht="19.5" hidden="false" customHeight="true" outlineLevel="0" collapsed="false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customFormat="false" ht="15" hidden="false" customHeight="true" outlineLevel="0" collapsed="false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6" t="s">
        <v>42</v>
      </c>
      <c r="K3" s="6" t="s">
        <v>43</v>
      </c>
      <c r="L3" s="6" t="s">
        <v>44</v>
      </c>
      <c r="M3" s="6" t="s">
        <v>15</v>
      </c>
      <c r="N3" s="6" t="s">
        <v>45</v>
      </c>
      <c r="O3" s="6" t="s">
        <v>46</v>
      </c>
    </row>
    <row r="4" customFormat="false" ht="15" hidden="false" customHeight="true" outlineLevel="0" collapsed="false">
      <c r="A4" s="7" t="s">
        <v>47</v>
      </c>
      <c r="B4" s="7" t="s">
        <v>48</v>
      </c>
      <c r="C4" s="7" t="s">
        <v>49</v>
      </c>
      <c r="D4" s="7" t="s">
        <v>50</v>
      </c>
      <c r="E4" s="10" t="n">
        <v>85</v>
      </c>
      <c r="F4" s="10" t="n">
        <v>80</v>
      </c>
      <c r="G4" s="10" t="n">
        <v>90</v>
      </c>
      <c r="H4" s="10" t="n">
        <v>88</v>
      </c>
      <c r="I4" s="10" t="n">
        <v>85</v>
      </c>
      <c r="J4" s="10" t="n">
        <v>82</v>
      </c>
      <c r="K4" s="11" t="n">
        <v>78</v>
      </c>
      <c r="L4" s="10" t="n">
        <v>85</v>
      </c>
      <c r="M4" s="12" t="n">
        <f aca="false">AVERAGE(E4:L4)</f>
        <v>84.125</v>
      </c>
      <c r="N4" s="7" t="s">
        <v>51</v>
      </c>
      <c r="O4" s="7" t="s">
        <v>52</v>
      </c>
    </row>
    <row r="5" customFormat="false" ht="15" hidden="false" customHeight="true" outlineLevel="0" collapsed="false">
      <c r="A5" s="8" t="s">
        <v>53</v>
      </c>
      <c r="B5" s="8" t="s">
        <v>54</v>
      </c>
      <c r="C5" s="8" t="s">
        <v>55</v>
      </c>
      <c r="D5" s="8" t="s">
        <v>56</v>
      </c>
      <c r="E5" s="11" t="n">
        <v>75</v>
      </c>
      <c r="F5" s="11" t="n">
        <v>70</v>
      </c>
      <c r="G5" s="11" t="n">
        <v>78</v>
      </c>
      <c r="H5" s="11" t="n">
        <v>72</v>
      </c>
      <c r="I5" s="10" t="n">
        <v>80</v>
      </c>
      <c r="J5" s="11" t="n">
        <v>68</v>
      </c>
      <c r="K5" s="10" t="n">
        <v>82</v>
      </c>
      <c r="L5" s="11" t="n">
        <v>70</v>
      </c>
      <c r="M5" s="12" t="n">
        <f aca="false">AVERAGE(E5:L5)</f>
        <v>74.375</v>
      </c>
      <c r="N5" s="8" t="s">
        <v>57</v>
      </c>
      <c r="O5" s="8" t="s">
        <v>52</v>
      </c>
    </row>
    <row r="6" customFormat="false" ht="15" hidden="false" customHeight="true" outlineLevel="0" collapsed="false">
      <c r="A6" s="7" t="s">
        <v>58</v>
      </c>
      <c r="B6" s="7" t="s">
        <v>59</v>
      </c>
      <c r="C6" s="7" t="s">
        <v>60</v>
      </c>
      <c r="D6" s="7" t="s">
        <v>61</v>
      </c>
      <c r="E6" s="11" t="n">
        <v>65</v>
      </c>
      <c r="F6" s="13" t="n">
        <v>60</v>
      </c>
      <c r="G6" s="13" t="n">
        <v>62</v>
      </c>
      <c r="H6" s="13" t="n">
        <v>55</v>
      </c>
      <c r="I6" s="11" t="n">
        <v>70</v>
      </c>
      <c r="J6" s="13" t="n">
        <v>58</v>
      </c>
      <c r="K6" s="11" t="n">
        <v>72</v>
      </c>
      <c r="L6" s="13" t="n">
        <v>60</v>
      </c>
      <c r="M6" s="12" t="n">
        <f aca="false">AVERAGE(E6:L6)</f>
        <v>62.75</v>
      </c>
      <c r="N6" s="7" t="s">
        <v>62</v>
      </c>
      <c r="O6" s="7" t="s">
        <v>63</v>
      </c>
    </row>
    <row r="7" customFormat="false" ht="15" hidden="false" customHeight="true" outlineLevel="0" collapsed="false">
      <c r="A7" s="8" t="s">
        <v>64</v>
      </c>
      <c r="B7" s="8" t="s">
        <v>65</v>
      </c>
      <c r="C7" s="8" t="s">
        <v>49</v>
      </c>
      <c r="D7" s="8" t="s">
        <v>66</v>
      </c>
      <c r="E7" s="10" t="n">
        <v>90</v>
      </c>
      <c r="F7" s="10" t="n">
        <v>88</v>
      </c>
      <c r="G7" s="10" t="n">
        <v>85</v>
      </c>
      <c r="H7" s="10" t="n">
        <v>92</v>
      </c>
      <c r="I7" s="10" t="n">
        <v>88</v>
      </c>
      <c r="J7" s="10" t="n">
        <v>85</v>
      </c>
      <c r="K7" s="10" t="n">
        <v>90</v>
      </c>
      <c r="L7" s="10" t="n">
        <v>88</v>
      </c>
      <c r="M7" s="12" t="n">
        <f aca="false">AVERAGE(E7:L7)</f>
        <v>88.25</v>
      </c>
      <c r="N7" s="8" t="s">
        <v>67</v>
      </c>
      <c r="O7" s="8" t="s">
        <v>52</v>
      </c>
    </row>
    <row r="8" customFormat="false" ht="15" hidden="false" customHeight="true" outlineLevel="0" collapsed="false">
      <c r="A8" s="7" t="s">
        <v>68</v>
      </c>
      <c r="B8" s="7" t="s">
        <v>69</v>
      </c>
      <c r="C8" s="7" t="s">
        <v>55</v>
      </c>
      <c r="D8" s="7" t="s">
        <v>70</v>
      </c>
      <c r="E8" s="11" t="n">
        <v>72</v>
      </c>
      <c r="F8" s="11" t="n">
        <v>75</v>
      </c>
      <c r="G8" s="11" t="n">
        <v>70</v>
      </c>
      <c r="H8" s="11" t="n">
        <v>68</v>
      </c>
      <c r="I8" s="11" t="n">
        <v>75</v>
      </c>
      <c r="J8" s="11" t="n">
        <v>70</v>
      </c>
      <c r="K8" s="11" t="n">
        <v>76</v>
      </c>
      <c r="L8" s="11" t="n">
        <v>72</v>
      </c>
      <c r="M8" s="12" t="n">
        <f aca="false">AVERAGE(E8:L8)</f>
        <v>72.25</v>
      </c>
      <c r="N8" s="7" t="s">
        <v>51</v>
      </c>
      <c r="O8" s="7" t="s">
        <v>52</v>
      </c>
    </row>
    <row r="9" customFormat="false" ht="15" hidden="false" customHeight="true" outlineLevel="0" collapsed="false">
      <c r="A9" s="8" t="s">
        <v>71</v>
      </c>
      <c r="B9" s="8" t="s">
        <v>72</v>
      </c>
      <c r="C9" s="8" t="s">
        <v>73</v>
      </c>
      <c r="D9" s="8" t="s">
        <v>74</v>
      </c>
      <c r="E9" s="10" t="n">
        <v>95</v>
      </c>
      <c r="F9" s="10" t="n">
        <v>92</v>
      </c>
      <c r="G9" s="10" t="n">
        <v>90</v>
      </c>
      <c r="H9" s="10" t="n">
        <v>94</v>
      </c>
      <c r="I9" s="10" t="n">
        <v>92</v>
      </c>
      <c r="J9" s="10" t="n">
        <v>90</v>
      </c>
      <c r="K9" s="10" t="n">
        <v>95</v>
      </c>
      <c r="L9" s="10" t="n">
        <v>92</v>
      </c>
      <c r="M9" s="12" t="n">
        <f aca="false">AVERAGE(E9:L9)</f>
        <v>92.5</v>
      </c>
      <c r="N9" s="8" t="s">
        <v>75</v>
      </c>
      <c r="O9" s="8" t="s">
        <v>52</v>
      </c>
    </row>
    <row r="10" customFormat="false" ht="15" hidden="false" customHeight="true" outlineLevel="0" collapsed="false">
      <c r="A10" s="7" t="s">
        <v>76</v>
      </c>
      <c r="B10" s="7" t="s">
        <v>77</v>
      </c>
      <c r="C10" s="7" t="s">
        <v>60</v>
      </c>
      <c r="D10" s="7" t="s">
        <v>78</v>
      </c>
      <c r="E10" s="13" t="n">
        <v>58</v>
      </c>
      <c r="F10" s="13" t="n">
        <v>55</v>
      </c>
      <c r="G10" s="13" t="n">
        <v>60</v>
      </c>
      <c r="H10" s="13" t="n">
        <v>50</v>
      </c>
      <c r="I10" s="13" t="n">
        <v>62</v>
      </c>
      <c r="J10" s="13" t="n">
        <v>52</v>
      </c>
      <c r="K10" s="11" t="n">
        <v>65</v>
      </c>
      <c r="L10" s="13" t="n">
        <v>55</v>
      </c>
      <c r="M10" s="12" t="n">
        <f aca="false">AVERAGE(E10:L10)</f>
        <v>57.125</v>
      </c>
      <c r="N10" s="7" t="s">
        <v>63</v>
      </c>
      <c r="O10" s="7" t="s">
        <v>63</v>
      </c>
    </row>
    <row r="11" customFormat="false" ht="15" hidden="false" customHeight="true" outlineLevel="0" collapsed="false">
      <c r="A11" s="8" t="s">
        <v>79</v>
      </c>
      <c r="B11" s="8" t="s">
        <v>80</v>
      </c>
      <c r="C11" s="8" t="s">
        <v>55</v>
      </c>
      <c r="D11" s="8" t="s">
        <v>81</v>
      </c>
      <c r="E11" s="11" t="n">
        <v>70</v>
      </c>
      <c r="F11" s="11" t="n">
        <v>68</v>
      </c>
      <c r="G11" s="11" t="n">
        <v>72</v>
      </c>
      <c r="H11" s="11" t="n">
        <v>65</v>
      </c>
      <c r="I11" s="11" t="n">
        <v>72</v>
      </c>
      <c r="J11" s="11" t="n">
        <v>66</v>
      </c>
      <c r="K11" s="11" t="n">
        <v>74</v>
      </c>
      <c r="L11" s="11" t="n">
        <v>68</v>
      </c>
      <c r="M11" s="12" t="n">
        <f aca="false">AVERAGE(E11:L11)</f>
        <v>69.375</v>
      </c>
      <c r="N11" s="8" t="s">
        <v>51</v>
      </c>
      <c r="O11" s="8" t="s">
        <v>52</v>
      </c>
    </row>
    <row r="14" customFormat="false" ht="15" hidden="false" customHeight="true" outlineLevel="0" collapsed="false">
      <c r="A14" s="14" t="s">
        <v>82</v>
      </c>
    </row>
    <row r="15" customFormat="false" ht="15" hidden="false" customHeight="true" outlineLevel="0" collapsed="false">
      <c r="A15" s="15" t="s">
        <v>83</v>
      </c>
    </row>
    <row r="16" customFormat="false" ht="15" hidden="false" customHeight="true" outlineLevel="0" collapsed="false">
      <c r="A16" s="16" t="s">
        <v>84</v>
      </c>
    </row>
    <row r="17" customFormat="false" ht="15" hidden="false" customHeight="true" outlineLevel="0" collapsed="false">
      <c r="A17" s="17" t="s">
        <v>85</v>
      </c>
    </row>
    <row r="21" customFormat="false" ht="15" hidden="false" customHeight="false" outlineLevel="0" collapsed="false">
      <c r="A21" s="18" t="s">
        <v>86</v>
      </c>
      <c r="E21" s="18" t="s">
        <v>87</v>
      </c>
    </row>
    <row r="22" customFormat="false" ht="15" hidden="false" customHeight="false" outlineLevel="0" collapsed="false">
      <c r="A22" s="1" t="s">
        <v>88</v>
      </c>
      <c r="B22" s="1" t="s">
        <v>89</v>
      </c>
      <c r="C22" s="1" t="s">
        <v>9</v>
      </c>
    </row>
    <row r="23" customFormat="false" ht="15" hidden="false" customHeight="false" outlineLevel="0" collapsed="false">
      <c r="A23" s="1" t="s">
        <v>37</v>
      </c>
      <c r="B23" s="1" t="n">
        <v>76.3</v>
      </c>
      <c r="C23" s="1" t="n">
        <v>80</v>
      </c>
    </row>
    <row r="24" customFormat="false" ht="15" hidden="false" customHeight="false" outlineLevel="0" collapsed="false">
      <c r="A24" s="1" t="s">
        <v>90</v>
      </c>
      <c r="B24" s="1" t="n">
        <v>73.5</v>
      </c>
      <c r="C24" s="1" t="n">
        <v>80</v>
      </c>
    </row>
    <row r="25" customFormat="false" ht="15" hidden="false" customHeight="false" outlineLevel="0" collapsed="false">
      <c r="A25" s="1" t="s">
        <v>91</v>
      </c>
      <c r="B25" s="1" t="n">
        <v>75.9</v>
      </c>
      <c r="C25" s="1" t="n">
        <v>80</v>
      </c>
    </row>
    <row r="26" customFormat="false" ht="15" hidden="false" customHeight="false" outlineLevel="0" collapsed="false">
      <c r="A26" s="1" t="s">
        <v>40</v>
      </c>
      <c r="B26" s="1" t="n">
        <v>73</v>
      </c>
      <c r="C26" s="1" t="n">
        <v>80</v>
      </c>
    </row>
    <row r="27" customFormat="false" ht="15" hidden="false" customHeight="false" outlineLevel="0" collapsed="false">
      <c r="A27" s="1" t="s">
        <v>92</v>
      </c>
      <c r="B27" s="1" t="n">
        <v>78</v>
      </c>
      <c r="C27" s="1" t="n">
        <v>80</v>
      </c>
    </row>
    <row r="28" customFormat="false" ht="15" hidden="false" customHeight="false" outlineLevel="0" collapsed="false">
      <c r="A28" s="1" t="s">
        <v>93</v>
      </c>
      <c r="B28" s="1" t="n">
        <v>71.4</v>
      </c>
      <c r="C28" s="1" t="n">
        <v>80</v>
      </c>
    </row>
    <row r="29" customFormat="false" ht="15" hidden="false" customHeight="false" outlineLevel="0" collapsed="false">
      <c r="A29" s="1" t="s">
        <v>94</v>
      </c>
      <c r="B29" s="1" t="n">
        <v>79</v>
      </c>
      <c r="C29" s="1" t="n">
        <v>80</v>
      </c>
    </row>
    <row r="30" customFormat="false" ht="15" hidden="false" customHeight="false" outlineLevel="0" collapsed="false">
      <c r="A30" s="1" t="s">
        <v>44</v>
      </c>
      <c r="B30" s="1" t="n">
        <v>73.8</v>
      </c>
      <c r="C30" s="1" t="n">
        <v>80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7" min="5" style="1" width="10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16"/>
    <col collapsed="false" customWidth="true" hidden="false" outlineLevel="0" max="16" min="16" style="1" width="20"/>
  </cols>
  <sheetData>
    <row r="1" customFormat="false" ht="19.5" hidden="false" customHeight="true" outlineLevel="0" collapsed="false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15" hidden="false" customHeight="true" outlineLevel="0" collapsed="false">
      <c r="A2" s="19" t="s">
        <v>96</v>
      </c>
    </row>
    <row r="4" customFormat="false" ht="15" hidden="false" customHeight="true" outlineLevel="0" collapsed="false">
      <c r="A4" s="6" t="s">
        <v>97</v>
      </c>
      <c r="B4" s="6" t="s">
        <v>98</v>
      </c>
      <c r="C4" s="6" t="s">
        <v>99</v>
      </c>
      <c r="D4" s="6" t="s">
        <v>6</v>
      </c>
      <c r="E4" s="6" t="s">
        <v>100</v>
      </c>
      <c r="F4" s="6" t="s">
        <v>101</v>
      </c>
      <c r="G4" s="6" t="s">
        <v>102</v>
      </c>
      <c r="H4" s="6" t="s">
        <v>103</v>
      </c>
      <c r="I4" s="6" t="s">
        <v>104</v>
      </c>
      <c r="J4" s="6" t="s">
        <v>30</v>
      </c>
      <c r="K4" s="6" t="s">
        <v>105</v>
      </c>
      <c r="L4" s="6" t="s">
        <v>106</v>
      </c>
      <c r="M4" s="6" t="s">
        <v>107</v>
      </c>
      <c r="N4" s="6" t="s">
        <v>108</v>
      </c>
      <c r="O4" s="6" t="s">
        <v>109</v>
      </c>
      <c r="P4" s="6" t="s">
        <v>110</v>
      </c>
    </row>
    <row r="5" customFormat="false" ht="15" hidden="false" customHeight="true" outlineLevel="0" collapsed="false">
      <c r="A5" s="20" t="s">
        <v>48</v>
      </c>
      <c r="B5" s="20" t="s">
        <v>111</v>
      </c>
      <c r="C5" s="12" t="s">
        <v>112</v>
      </c>
      <c r="D5" s="12" t="n">
        <v>3.8</v>
      </c>
      <c r="E5" s="12" t="n">
        <v>11.2</v>
      </c>
      <c r="F5" s="12" t="n">
        <v>2.1</v>
      </c>
      <c r="G5" s="12" t="n">
        <v>8.5</v>
      </c>
      <c r="H5" s="12" t="n">
        <v>125000</v>
      </c>
      <c r="I5" s="12" t="n">
        <v>2625</v>
      </c>
      <c r="J5" s="12" t="n">
        <v>185</v>
      </c>
      <c r="K5" s="12" t="n">
        <v>2072</v>
      </c>
      <c r="L5" s="12" t="n">
        <v>7873.6</v>
      </c>
      <c r="M5" s="12" t="n">
        <f aca="false">IF(I5&gt;0,J5/I5*100,0)</f>
        <v>7.04761904761905</v>
      </c>
      <c r="N5" s="12" t="n">
        <f aca="false">IF(I5&gt;0,H5/I5,0)</f>
        <v>47.6190476190476</v>
      </c>
      <c r="O5" s="12" t="n">
        <f aca="false">(D5*25)+(100-E5)*0.5+(F5*10)+(M5*5)</f>
        <v>195.638095238095</v>
      </c>
      <c r="P5" s="21"/>
    </row>
    <row r="6" customFormat="false" ht="15" hidden="false" customHeight="true" outlineLevel="0" collapsed="false">
      <c r="A6" s="20" t="s">
        <v>48</v>
      </c>
      <c r="B6" s="20" t="s">
        <v>113</v>
      </c>
      <c r="C6" s="12" t="s">
        <v>114</v>
      </c>
      <c r="D6" s="10" t="n">
        <v>4.2</v>
      </c>
      <c r="E6" s="10" t="n">
        <v>9.8</v>
      </c>
      <c r="F6" s="12" t="n">
        <v>2.5</v>
      </c>
      <c r="G6" s="12" t="n">
        <v>7.2</v>
      </c>
      <c r="H6" s="12" t="n">
        <v>180000</v>
      </c>
      <c r="I6" s="12" t="n">
        <v>4500</v>
      </c>
      <c r="J6" s="12" t="n">
        <v>220</v>
      </c>
      <c r="K6" s="12" t="n">
        <v>2156</v>
      </c>
      <c r="L6" s="12" t="n">
        <v>9055.2</v>
      </c>
      <c r="M6" s="12" t="n">
        <f aca="false">IF(I6&gt;0,J6/I6*100,0)</f>
        <v>4.88888888888889</v>
      </c>
      <c r="N6" s="12" t="n">
        <f aca="false">IF(I6&gt;0,H6/I6,0)</f>
        <v>40</v>
      </c>
      <c r="O6" s="12" t="n">
        <f aca="false">(D6*25)+(100-E6)*0.5+(F6*10)+(M6*5)</f>
        <v>199.544444444444</v>
      </c>
      <c r="P6" s="21"/>
    </row>
    <row r="7" customFormat="false" ht="15" hidden="false" customHeight="true" outlineLevel="0" collapsed="false">
      <c r="A7" s="20" t="s">
        <v>54</v>
      </c>
      <c r="B7" s="20" t="s">
        <v>115</v>
      </c>
      <c r="C7" s="12" t="s">
        <v>116</v>
      </c>
      <c r="D7" s="12" t="n">
        <v>2.9</v>
      </c>
      <c r="E7" s="12" t="n">
        <v>14.5</v>
      </c>
      <c r="F7" s="12" t="n">
        <v>1.8</v>
      </c>
      <c r="G7" s="12" t="n">
        <v>9.8</v>
      </c>
      <c r="H7" s="12" t="n">
        <v>95000</v>
      </c>
      <c r="I7" s="12" t="n">
        <v>1710</v>
      </c>
      <c r="J7" s="12" t="n">
        <v>110</v>
      </c>
      <c r="K7" s="12" t="n">
        <v>1595</v>
      </c>
      <c r="L7" s="12" t="n">
        <v>4625.5</v>
      </c>
      <c r="M7" s="12" t="n">
        <f aca="false">IF(I7&gt;0,J7/I7*100,0)</f>
        <v>6.4327485380117</v>
      </c>
      <c r="N7" s="12" t="n">
        <f aca="false">IF(I7&gt;0,H7/I7,0)</f>
        <v>55.5555555555556</v>
      </c>
      <c r="O7" s="12" t="n">
        <f aca="false">(D7*25)+(100-E7)*0.5+(F7*10)+(M7*5)</f>
        <v>165.413742690058</v>
      </c>
      <c r="P7" s="21"/>
    </row>
    <row r="8" customFormat="false" ht="15" hidden="false" customHeight="true" outlineLevel="0" collapsed="false">
      <c r="A8" s="20" t="s">
        <v>54</v>
      </c>
      <c r="B8" s="20" t="s">
        <v>117</v>
      </c>
      <c r="C8" s="12" t="s">
        <v>118</v>
      </c>
      <c r="D8" s="12" t="n">
        <v>3.1</v>
      </c>
      <c r="E8" s="12" t="n">
        <v>13.2</v>
      </c>
      <c r="F8" s="12" t="n">
        <v>1.9</v>
      </c>
      <c r="G8" s="12" t="n">
        <v>8.9</v>
      </c>
      <c r="H8" s="12" t="n">
        <v>110000</v>
      </c>
      <c r="I8" s="12" t="n">
        <v>2090</v>
      </c>
      <c r="J8" s="12" t="n">
        <v>135</v>
      </c>
      <c r="K8" s="12" t="n">
        <v>1782</v>
      </c>
      <c r="L8" s="12" t="n">
        <v>5524.2</v>
      </c>
      <c r="M8" s="12" t="n">
        <f aca="false">IF(I8&gt;0,J8/I8*100,0)</f>
        <v>6.45933014354067</v>
      </c>
      <c r="N8" s="12" t="n">
        <f aca="false">IF(I8&gt;0,H8/I8,0)</f>
        <v>52.6315789473684</v>
      </c>
      <c r="O8" s="12" t="n">
        <f aca="false">(D8*25)+(100-E8)*0.5+(F8*10)+(M8*5)</f>
        <v>172.196650717703</v>
      </c>
      <c r="P8" s="21"/>
    </row>
    <row r="9" customFormat="false" ht="15" hidden="false" customHeight="true" outlineLevel="0" collapsed="false">
      <c r="A9" s="20" t="s">
        <v>59</v>
      </c>
      <c r="B9" s="20" t="s">
        <v>119</v>
      </c>
      <c r="C9" s="12" t="s">
        <v>120</v>
      </c>
      <c r="D9" s="13" t="n">
        <v>2.2</v>
      </c>
      <c r="E9" s="13" t="n">
        <v>18</v>
      </c>
      <c r="F9" s="12" t="n">
        <v>1.4</v>
      </c>
      <c r="G9" s="12" t="n">
        <v>11.5</v>
      </c>
      <c r="H9" s="12" t="n">
        <v>75000</v>
      </c>
      <c r="I9" s="12" t="n">
        <v>1050</v>
      </c>
      <c r="J9" s="12" t="n">
        <v>65</v>
      </c>
      <c r="K9" s="12" t="n">
        <v>1170</v>
      </c>
      <c r="L9" s="12" t="n">
        <v>2574</v>
      </c>
      <c r="M9" s="12" t="n">
        <f aca="false">IF(I9&gt;0,J9/I9*100,0)</f>
        <v>6.19047619047619</v>
      </c>
      <c r="N9" s="12" t="n">
        <f aca="false">IF(I9&gt;0,H9/I9,0)</f>
        <v>71.4285714285714</v>
      </c>
      <c r="O9" s="12" t="n">
        <f aca="false">(D9*25)+(100-E9)*0.5+(F9*10)+(M9*5)</f>
        <v>140.952380952381</v>
      </c>
      <c r="P9" s="21"/>
    </row>
    <row r="10" customFormat="false" ht="15" hidden="false" customHeight="true" outlineLevel="0" collapsed="false">
      <c r="A10" s="20" t="s">
        <v>65</v>
      </c>
      <c r="B10" s="20" t="s">
        <v>121</v>
      </c>
      <c r="C10" s="12" t="s">
        <v>122</v>
      </c>
      <c r="D10" s="10" t="n">
        <v>5.1</v>
      </c>
      <c r="E10" s="10" t="n">
        <v>8.5</v>
      </c>
      <c r="F10" s="12" t="n">
        <v>3.2</v>
      </c>
      <c r="G10" s="12" t="n">
        <v>6.8</v>
      </c>
      <c r="H10" s="12" t="n">
        <v>220000</v>
      </c>
      <c r="I10" s="12" t="n">
        <v>7040</v>
      </c>
      <c r="J10" s="12" t="n">
        <v>380</v>
      </c>
      <c r="K10" s="12" t="n">
        <v>3230</v>
      </c>
      <c r="L10" s="12" t="n">
        <v>16473</v>
      </c>
      <c r="M10" s="12" t="n">
        <f aca="false">IF(I10&gt;0,J10/I10*100,0)</f>
        <v>5.39772727272727</v>
      </c>
      <c r="N10" s="12" t="n">
        <f aca="false">IF(I10&gt;0,H10/I10,0)</f>
        <v>31.25</v>
      </c>
      <c r="O10" s="12" t="n">
        <f aca="false">(D10*25)+(100-E10)*0.5+(F10*10)+(M10*5)</f>
        <v>232.238636363636</v>
      </c>
      <c r="P10" s="21"/>
    </row>
    <row r="11" customFormat="false" ht="15" hidden="false" customHeight="true" outlineLevel="0" collapsed="false">
      <c r="A11" s="20" t="s">
        <v>65</v>
      </c>
      <c r="B11" s="20" t="s">
        <v>123</v>
      </c>
      <c r="C11" s="12" t="s">
        <v>124</v>
      </c>
      <c r="D11" s="10" t="n">
        <v>4.8</v>
      </c>
      <c r="E11" s="10" t="n">
        <v>9.2</v>
      </c>
      <c r="F11" s="12" t="n">
        <v>2.9</v>
      </c>
      <c r="G11" s="12" t="n">
        <v>7.1</v>
      </c>
      <c r="H11" s="12" t="n">
        <v>195000</v>
      </c>
      <c r="I11" s="12" t="n">
        <v>5655</v>
      </c>
      <c r="J11" s="12" t="n">
        <v>320</v>
      </c>
      <c r="K11" s="12" t="n">
        <v>2944</v>
      </c>
      <c r="L11" s="12" t="n">
        <v>14131.2</v>
      </c>
      <c r="M11" s="12" t="n">
        <f aca="false">IF(I11&gt;0,J11/I11*100,0)</f>
        <v>5.65870910698497</v>
      </c>
      <c r="N11" s="12" t="n">
        <f aca="false">IF(I11&gt;0,H11/I11,0)</f>
        <v>34.4827586206897</v>
      </c>
      <c r="O11" s="12" t="n">
        <f aca="false">(D11*25)+(100-E11)*0.5+(F11*10)+(M11*5)</f>
        <v>222.693545534925</v>
      </c>
      <c r="P11" s="21"/>
    </row>
    <row r="12" customFormat="false" ht="15" hidden="false" customHeight="true" outlineLevel="0" collapsed="false">
      <c r="A12" s="20" t="s">
        <v>69</v>
      </c>
      <c r="B12" s="20" t="s">
        <v>125</v>
      </c>
      <c r="C12" s="12" t="s">
        <v>126</v>
      </c>
      <c r="D12" s="12" t="n">
        <v>3</v>
      </c>
      <c r="E12" s="12" t="n">
        <v>15</v>
      </c>
      <c r="F12" s="12" t="n">
        <v>1.7</v>
      </c>
      <c r="G12" s="12" t="n">
        <v>10.2</v>
      </c>
      <c r="H12" s="12" t="n">
        <v>88000</v>
      </c>
      <c r="I12" s="12" t="n">
        <v>1496</v>
      </c>
      <c r="J12" s="12" t="n">
        <v>95</v>
      </c>
      <c r="K12" s="12" t="n">
        <v>1425</v>
      </c>
      <c r="L12" s="12" t="n">
        <v>4275</v>
      </c>
      <c r="M12" s="12" t="n">
        <f aca="false">IF(I12&gt;0,J12/I12*100,0)</f>
        <v>6.35026737967915</v>
      </c>
      <c r="N12" s="12" t="n">
        <f aca="false">IF(I12&gt;0,H12/I12,0)</f>
        <v>58.8235294117647</v>
      </c>
      <c r="O12" s="12" t="n">
        <f aca="false">(D12*25)+(100-E12)*0.5+(F12*10)+(M12*5)</f>
        <v>166.251336898396</v>
      </c>
      <c r="P12" s="21"/>
    </row>
    <row r="13" customFormat="false" ht="15" hidden="false" customHeight="true" outlineLevel="0" collapsed="false">
      <c r="A13" s="20" t="s">
        <v>72</v>
      </c>
      <c r="B13" s="20" t="s">
        <v>127</v>
      </c>
      <c r="C13" s="12" t="s">
        <v>128</v>
      </c>
      <c r="D13" s="10" t="n">
        <v>5.5</v>
      </c>
      <c r="E13" s="10" t="n">
        <v>7.8</v>
      </c>
      <c r="F13" s="12" t="n">
        <v>3.5</v>
      </c>
      <c r="G13" s="12" t="n">
        <v>6.2</v>
      </c>
      <c r="H13" s="12" t="n">
        <v>280000</v>
      </c>
      <c r="I13" s="12" t="n">
        <v>9800</v>
      </c>
      <c r="J13" s="12" t="n">
        <v>480</v>
      </c>
      <c r="K13" s="12" t="n">
        <v>3744</v>
      </c>
      <c r="L13" s="12" t="n">
        <v>20592</v>
      </c>
      <c r="M13" s="12" t="n">
        <f aca="false">IF(I13&gt;0,J13/I13*100,0)</f>
        <v>4.89795918367347</v>
      </c>
      <c r="N13" s="12" t="n">
        <f aca="false">IF(I13&gt;0,H13/I13,0)</f>
        <v>28.5714285714286</v>
      </c>
      <c r="O13" s="12" t="n">
        <f aca="false">(D13*25)+(100-E13)*0.5+(F13*10)+(M13*5)</f>
        <v>243.089795918367</v>
      </c>
      <c r="P13" s="21"/>
    </row>
    <row r="14" customFormat="false" ht="15" hidden="false" customHeight="true" outlineLevel="0" collapsed="false">
      <c r="A14" s="20" t="s">
        <v>72</v>
      </c>
      <c r="B14" s="20" t="s">
        <v>129</v>
      </c>
      <c r="C14" s="12" t="s">
        <v>130</v>
      </c>
      <c r="D14" s="10" t="n">
        <v>5.2</v>
      </c>
      <c r="E14" s="10" t="n">
        <v>8</v>
      </c>
      <c r="F14" s="12" t="n">
        <v>3.3</v>
      </c>
      <c r="G14" s="12" t="n">
        <v>6.5</v>
      </c>
      <c r="H14" s="12" t="n">
        <v>250000</v>
      </c>
      <c r="I14" s="12" t="n">
        <v>8250</v>
      </c>
      <c r="J14" s="12" t="n">
        <v>420</v>
      </c>
      <c r="K14" s="12" t="n">
        <v>3360</v>
      </c>
      <c r="L14" s="12" t="n">
        <v>17472</v>
      </c>
      <c r="M14" s="12" t="n">
        <f aca="false">IF(I14&gt;0,J14/I14*100,0)</f>
        <v>5.09090909090909</v>
      </c>
      <c r="N14" s="12" t="n">
        <f aca="false">IF(I14&gt;0,H14/I14,0)</f>
        <v>30.3030303030303</v>
      </c>
      <c r="O14" s="12" t="n">
        <f aca="false">(D14*25)+(100-E14)*0.5+(F14*10)+(M14*5)</f>
        <v>234.454545454545</v>
      </c>
      <c r="P14" s="21"/>
    </row>
    <row r="15" customFormat="false" ht="15" hidden="false" customHeight="true" outlineLevel="0" collapsed="false">
      <c r="A15" s="20" t="s">
        <v>77</v>
      </c>
      <c r="B15" s="20" t="s">
        <v>131</v>
      </c>
      <c r="C15" s="12" t="s">
        <v>132</v>
      </c>
      <c r="D15" s="13" t="n">
        <v>1.8</v>
      </c>
      <c r="E15" s="13" t="n">
        <v>22</v>
      </c>
      <c r="F15" s="12" t="n">
        <v>1.1</v>
      </c>
      <c r="G15" s="12" t="n">
        <v>13.5</v>
      </c>
      <c r="H15" s="12" t="n">
        <v>55000</v>
      </c>
      <c r="I15" s="12" t="n">
        <v>605</v>
      </c>
      <c r="J15" s="12" t="n">
        <v>38</v>
      </c>
      <c r="K15" s="12" t="n">
        <v>836</v>
      </c>
      <c r="L15" s="12" t="n">
        <v>1504.8</v>
      </c>
      <c r="M15" s="12" t="n">
        <f aca="false">IF(I15&gt;0,J15/I15*100,0)</f>
        <v>6.28099173553719</v>
      </c>
      <c r="N15" s="12" t="n">
        <f aca="false">IF(I15&gt;0,H15/I15,0)</f>
        <v>90.9090909090909</v>
      </c>
      <c r="O15" s="12" t="n">
        <f aca="false">(D15*25)+(100-E15)*0.5+(F15*10)+(M15*5)</f>
        <v>126.404958677686</v>
      </c>
      <c r="P15" s="21"/>
    </row>
    <row r="16" customFormat="false" ht="15" hidden="false" customHeight="true" outlineLevel="0" collapsed="false">
      <c r="A16" s="20" t="s">
        <v>80</v>
      </c>
      <c r="B16" s="20" t="s">
        <v>133</v>
      </c>
      <c r="C16" s="12" t="s">
        <v>134</v>
      </c>
      <c r="D16" s="12" t="n">
        <v>2.8</v>
      </c>
      <c r="E16" s="12" t="n">
        <v>14.8</v>
      </c>
      <c r="F16" s="12" t="n">
        <v>1.6</v>
      </c>
      <c r="G16" s="12" t="n">
        <v>9.5</v>
      </c>
      <c r="H16" s="12" t="n">
        <v>92000</v>
      </c>
      <c r="I16" s="12" t="n">
        <v>1472</v>
      </c>
      <c r="J16" s="12" t="n">
        <v>102</v>
      </c>
      <c r="K16" s="12" t="n">
        <v>1510</v>
      </c>
      <c r="L16" s="12" t="n">
        <v>4228</v>
      </c>
      <c r="M16" s="12" t="n">
        <f aca="false">IF(I16&gt;0,J16/I16*100,0)</f>
        <v>6.92934782608696</v>
      </c>
      <c r="N16" s="12" t="n">
        <f aca="false">IF(I16&gt;0,H16/I16,0)</f>
        <v>62.5</v>
      </c>
      <c r="O16" s="12" t="n">
        <f aca="false">(D16*25)+(100-E16)*0.5+(F16*10)+(M16*5)</f>
        <v>163.246739130435</v>
      </c>
      <c r="P16" s="21"/>
    </row>
    <row r="19" customFormat="false" ht="15" hidden="false" customHeight="true" outlineLevel="0" collapsed="false">
      <c r="A19" s="14" t="s">
        <v>135</v>
      </c>
    </row>
    <row r="20" customFormat="false" ht="15" hidden="false" customHeight="true" outlineLevel="0" collapsed="false">
      <c r="D20" s="22" t="s">
        <v>136</v>
      </c>
      <c r="E20" s="22" t="s">
        <v>137</v>
      </c>
      <c r="F20" s="22" t="s">
        <v>138</v>
      </c>
      <c r="K20" s="22" t="s">
        <v>139</v>
      </c>
      <c r="L20" s="22" t="s">
        <v>140</v>
      </c>
    </row>
    <row r="21" customFormat="false" ht="15" hidden="false" customHeight="true" outlineLevel="0" collapsed="false">
      <c r="D21" s="1" t="n">
        <f aca="false">AVERAGE(D5:D16)</f>
        <v>3.7</v>
      </c>
      <c r="E21" s="1" t="n">
        <f aca="false">AVERAGE(E5:E16)</f>
        <v>12.6666666666667</v>
      </c>
      <c r="F21" s="1" t="n">
        <f aca="false">AVERAGE(F5:F16)</f>
        <v>2.25</v>
      </c>
      <c r="K21" s="1" t="n">
        <f aca="false">SUM(K5:K16)</f>
        <v>25824</v>
      </c>
      <c r="L21" s="1" t="n">
        <f aca="false">SUM(L5:L16)</f>
        <v>108328.5</v>
      </c>
    </row>
    <row r="24" customFormat="false" ht="17.35" hidden="false" customHeight="false" outlineLevel="0" collapsed="false">
      <c r="A24" s="23" t="s">
        <v>141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4"/>
    <col collapsed="false" customWidth="true" hidden="false" outlineLevel="0" max="12" min="12" style="1" width="12"/>
  </cols>
  <sheetData>
    <row r="1" customFormat="false" ht="19.5" hidden="false" customHeight="true" outlineLevel="0" collapsed="false">
      <c r="A1" s="9" t="s">
        <v>142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customFormat="false" ht="15" hidden="false" customHeight="true" outlineLevel="0" collapsed="false">
      <c r="A3" s="6" t="s">
        <v>143</v>
      </c>
      <c r="B3" s="6" t="s">
        <v>99</v>
      </c>
      <c r="C3" s="6" t="s">
        <v>144</v>
      </c>
      <c r="D3" s="6" t="s">
        <v>11</v>
      </c>
      <c r="E3" s="6" t="s">
        <v>145</v>
      </c>
      <c r="F3" s="6" t="s">
        <v>146</v>
      </c>
      <c r="G3" s="6" t="s">
        <v>147</v>
      </c>
      <c r="H3" s="6" t="s">
        <v>148</v>
      </c>
      <c r="I3" s="6" t="s">
        <v>149</v>
      </c>
      <c r="J3" s="6" t="s">
        <v>150</v>
      </c>
      <c r="K3" s="6" t="s">
        <v>151</v>
      </c>
      <c r="L3" s="6" t="s">
        <v>152</v>
      </c>
    </row>
    <row r="4" customFormat="false" ht="15" hidden="false" customHeight="true" outlineLevel="0" collapsed="false">
      <c r="A4" s="8" t="s">
        <v>111</v>
      </c>
      <c r="B4" s="8" t="s">
        <v>112</v>
      </c>
      <c r="C4" s="8" t="s">
        <v>48</v>
      </c>
      <c r="D4" s="24" t="s">
        <v>153</v>
      </c>
      <c r="E4" s="8" t="n">
        <v>5000</v>
      </c>
      <c r="F4" s="8" t="n">
        <v>2072</v>
      </c>
      <c r="G4" s="8" t="n">
        <v>2928</v>
      </c>
      <c r="H4" s="25" t="n">
        <f aca="false">F4/E4</f>
        <v>0.4144</v>
      </c>
      <c r="I4" s="8" t="n">
        <v>3.8</v>
      </c>
      <c r="J4" s="8"/>
      <c r="K4" s="8" t="n">
        <f aca="false">J4-I4</f>
        <v>-3.8</v>
      </c>
      <c r="L4" s="8" t="str">
        <f aca="false">IF(AND(K4&gt;=0,H4&lt;=0.8),"✓ Healthy",IF(K4&lt;-0.5,"⚠ Critical","⚡ Monitor"))</f>
        <v>⚠ Critical</v>
      </c>
    </row>
    <row r="5" customFormat="false" ht="15" hidden="false" customHeight="true" outlineLevel="0" collapsed="false">
      <c r="A5" s="8" t="s">
        <v>113</v>
      </c>
      <c r="B5" s="8" t="s">
        <v>114</v>
      </c>
      <c r="C5" s="8" t="s">
        <v>48</v>
      </c>
      <c r="D5" s="24" t="s">
        <v>153</v>
      </c>
      <c r="E5" s="8" t="n">
        <v>6000</v>
      </c>
      <c r="F5" s="8" t="n">
        <v>2156</v>
      </c>
      <c r="G5" s="8" t="n">
        <v>3844</v>
      </c>
      <c r="H5" s="25" t="n">
        <f aca="false">F5/E5</f>
        <v>0.359333333333333</v>
      </c>
      <c r="I5" s="8" t="n">
        <v>4.2</v>
      </c>
      <c r="J5" s="8"/>
      <c r="K5" s="8" t="n">
        <f aca="false">J5-I5</f>
        <v>-4.2</v>
      </c>
      <c r="L5" s="8" t="str">
        <f aca="false">IF(AND(K5&gt;=0,H5&lt;=0.8),"✓ Healthy",IF(K5&lt;-0.5,"⚠ Critical","⚡ Monitor"))</f>
        <v>⚠ Critical</v>
      </c>
    </row>
    <row r="6" customFormat="false" ht="15" hidden="false" customHeight="true" outlineLevel="0" collapsed="false">
      <c r="A6" s="8" t="s">
        <v>115</v>
      </c>
      <c r="B6" s="8" t="s">
        <v>116</v>
      </c>
      <c r="C6" s="8" t="s">
        <v>54</v>
      </c>
      <c r="D6" s="24" t="s">
        <v>153</v>
      </c>
      <c r="E6" s="8" t="n">
        <v>4000</v>
      </c>
      <c r="F6" s="8" t="n">
        <v>1595</v>
      </c>
      <c r="G6" s="8" t="n">
        <v>2405</v>
      </c>
      <c r="H6" s="25" t="n">
        <f aca="false">F6/E6</f>
        <v>0.39875</v>
      </c>
      <c r="I6" s="8" t="n">
        <v>2.9</v>
      </c>
      <c r="J6" s="8"/>
      <c r="K6" s="8" t="n">
        <f aca="false">J6-I6</f>
        <v>-2.9</v>
      </c>
      <c r="L6" s="8" t="str">
        <f aca="false">IF(AND(K6&gt;=0,H6&lt;=0.8),"✓ Healthy",IF(K6&lt;-0.5,"⚠ Critical","⚡ Monitor"))</f>
        <v>⚠ Critical</v>
      </c>
    </row>
    <row r="7" customFormat="false" ht="15" hidden="false" customHeight="true" outlineLevel="0" collapsed="false">
      <c r="A7" s="8" t="s">
        <v>117</v>
      </c>
      <c r="B7" s="8" t="s">
        <v>118</v>
      </c>
      <c r="C7" s="8" t="s">
        <v>54</v>
      </c>
      <c r="D7" s="24" t="s">
        <v>153</v>
      </c>
      <c r="E7" s="8" t="n">
        <v>4500</v>
      </c>
      <c r="F7" s="8" t="n">
        <v>1782</v>
      </c>
      <c r="G7" s="8" t="n">
        <v>2718</v>
      </c>
      <c r="H7" s="25" t="n">
        <f aca="false">F7/E7</f>
        <v>0.396</v>
      </c>
      <c r="I7" s="8" t="n">
        <v>3.1</v>
      </c>
      <c r="J7" s="8"/>
      <c r="K7" s="8" t="n">
        <f aca="false">J7-I7</f>
        <v>-3.1</v>
      </c>
      <c r="L7" s="8" t="str">
        <f aca="false">IF(AND(K7&gt;=0,H7&lt;=0.8),"✓ Healthy",IF(K7&lt;-0.5,"⚠ Critical","⚡ Monitor"))</f>
        <v>⚠ Critical</v>
      </c>
    </row>
    <row r="8" customFormat="false" ht="15" hidden="false" customHeight="true" outlineLevel="0" collapsed="false">
      <c r="A8" s="8" t="s">
        <v>119</v>
      </c>
      <c r="B8" s="8" t="s">
        <v>120</v>
      </c>
      <c r="C8" s="8" t="s">
        <v>59</v>
      </c>
      <c r="D8" s="24" t="s">
        <v>153</v>
      </c>
      <c r="E8" s="8" t="n">
        <v>3000</v>
      </c>
      <c r="F8" s="8" t="n">
        <v>1170</v>
      </c>
      <c r="G8" s="8" t="n">
        <v>1830</v>
      </c>
      <c r="H8" s="25" t="n">
        <f aca="false">F8/E8</f>
        <v>0.39</v>
      </c>
      <c r="I8" s="8" t="n">
        <v>2.2</v>
      </c>
      <c r="J8" s="8"/>
      <c r="K8" s="8" t="n">
        <f aca="false">J8-I8</f>
        <v>-2.2</v>
      </c>
      <c r="L8" s="8" t="str">
        <f aca="false">IF(AND(K8&gt;=0,H8&lt;=0.8),"✓ Healthy",IF(K8&lt;-0.5,"⚠ Critical","⚡ Monitor"))</f>
        <v>⚠ Critical</v>
      </c>
    </row>
    <row r="9" customFormat="false" ht="15" hidden="false" customHeight="true" outlineLevel="0" collapsed="false">
      <c r="A9" s="8" t="s">
        <v>121</v>
      </c>
      <c r="B9" s="8" t="s">
        <v>122</v>
      </c>
      <c r="C9" s="8" t="s">
        <v>65</v>
      </c>
      <c r="D9" s="24" t="s">
        <v>153</v>
      </c>
      <c r="E9" s="8" t="n">
        <v>8000</v>
      </c>
      <c r="F9" s="8" t="n">
        <v>3230</v>
      </c>
      <c r="G9" s="8" t="n">
        <v>4770</v>
      </c>
      <c r="H9" s="25" t="n">
        <f aca="false">F9/E9</f>
        <v>0.40375</v>
      </c>
      <c r="I9" s="8" t="n">
        <v>5.1</v>
      </c>
      <c r="J9" s="8"/>
      <c r="K9" s="8" t="n">
        <f aca="false">J9-I9</f>
        <v>-5.1</v>
      </c>
      <c r="L9" s="8" t="str">
        <f aca="false">IF(AND(K9&gt;=0,H9&lt;=0.8),"✓ Healthy",IF(K9&lt;-0.5,"⚠ Critical","⚡ Monitor"))</f>
        <v>⚠ Critical</v>
      </c>
    </row>
    <row r="10" customFormat="false" ht="15" hidden="false" customHeight="true" outlineLevel="0" collapsed="false">
      <c r="A10" s="8" t="s">
        <v>123</v>
      </c>
      <c r="B10" s="8" t="s">
        <v>124</v>
      </c>
      <c r="C10" s="8" t="s">
        <v>65</v>
      </c>
      <c r="D10" s="24" t="s">
        <v>153</v>
      </c>
      <c r="E10" s="8" t="n">
        <v>7000</v>
      </c>
      <c r="F10" s="8" t="n">
        <v>2944</v>
      </c>
      <c r="G10" s="8" t="n">
        <v>4056</v>
      </c>
      <c r="H10" s="25" t="n">
        <f aca="false">F10/E10</f>
        <v>0.420571428571429</v>
      </c>
      <c r="I10" s="8" t="n">
        <v>4.8</v>
      </c>
      <c r="J10" s="8"/>
      <c r="K10" s="8" t="n">
        <f aca="false">J10-I10</f>
        <v>-4.8</v>
      </c>
      <c r="L10" s="8" t="str">
        <f aca="false">IF(AND(K10&gt;=0,H10&lt;=0.8),"✓ Healthy",IF(K10&lt;-0.5,"⚠ Critical","⚡ Monitor"))</f>
        <v>⚠ Critical</v>
      </c>
    </row>
    <row r="11" customFormat="false" ht="15" hidden="false" customHeight="true" outlineLevel="0" collapsed="false">
      <c r="A11" s="8" t="s">
        <v>125</v>
      </c>
      <c r="B11" s="8" t="s">
        <v>126</v>
      </c>
      <c r="C11" s="8" t="s">
        <v>69</v>
      </c>
      <c r="D11" s="24" t="s">
        <v>153</v>
      </c>
      <c r="E11" s="8" t="n">
        <v>3500</v>
      </c>
      <c r="F11" s="8" t="n">
        <v>1425</v>
      </c>
      <c r="G11" s="8" t="n">
        <v>2075</v>
      </c>
      <c r="H11" s="25" t="n">
        <f aca="false">F11/E11</f>
        <v>0.407142857142857</v>
      </c>
      <c r="I11" s="8" t="n">
        <v>3</v>
      </c>
      <c r="J11" s="8"/>
      <c r="K11" s="8" t="n">
        <f aca="false">J11-I11</f>
        <v>-3</v>
      </c>
      <c r="L11" s="8" t="str">
        <f aca="false">IF(AND(K11&gt;=0,H11&lt;=0.8),"✓ Healthy",IF(K11&lt;-0.5,"⚠ Critical","⚡ Monitor"))</f>
        <v>⚠ Critical</v>
      </c>
    </row>
    <row r="12" customFormat="false" ht="15" hidden="false" customHeight="true" outlineLevel="0" collapsed="false">
      <c r="A12" s="8" t="s">
        <v>127</v>
      </c>
      <c r="B12" s="8" t="s">
        <v>128</v>
      </c>
      <c r="C12" s="8" t="s">
        <v>72</v>
      </c>
      <c r="D12" s="24" t="s">
        <v>153</v>
      </c>
      <c r="E12" s="8" t="n">
        <v>10000</v>
      </c>
      <c r="F12" s="8" t="n">
        <v>3744</v>
      </c>
      <c r="G12" s="8" t="n">
        <v>6256</v>
      </c>
      <c r="H12" s="25" t="n">
        <f aca="false">F12/E12</f>
        <v>0.3744</v>
      </c>
      <c r="I12" s="8" t="n">
        <v>5.5</v>
      </c>
      <c r="J12" s="8"/>
      <c r="K12" s="8" t="n">
        <f aca="false">J12-I12</f>
        <v>-5.5</v>
      </c>
      <c r="L12" s="8" t="str">
        <f aca="false">IF(AND(K12&gt;=0,H12&lt;=0.8),"✓ Healthy",IF(K12&lt;-0.5,"⚠ Critical","⚡ Monitor"))</f>
        <v>⚠ Critical</v>
      </c>
    </row>
    <row r="13" customFormat="false" ht="15" hidden="false" customHeight="true" outlineLevel="0" collapsed="false">
      <c r="A13" s="8" t="s">
        <v>129</v>
      </c>
      <c r="B13" s="8" t="s">
        <v>130</v>
      </c>
      <c r="C13" s="8" t="s">
        <v>72</v>
      </c>
      <c r="D13" s="24" t="s">
        <v>153</v>
      </c>
      <c r="E13" s="8" t="n">
        <v>9000</v>
      </c>
      <c r="F13" s="8" t="n">
        <v>3360</v>
      </c>
      <c r="G13" s="8" t="n">
        <v>5640</v>
      </c>
      <c r="H13" s="25" t="n">
        <f aca="false">F13/E13</f>
        <v>0.373333333333333</v>
      </c>
      <c r="I13" s="8" t="n">
        <v>5.2</v>
      </c>
      <c r="J13" s="8"/>
      <c r="K13" s="8" t="n">
        <f aca="false">J13-I13</f>
        <v>-5.2</v>
      </c>
      <c r="L13" s="8" t="str">
        <f aca="false">IF(AND(K13&gt;=0,H13&lt;=0.8),"✓ Healthy",IF(K13&lt;-0.5,"⚠ Critical","⚡ Monitor"))</f>
        <v>⚠ Critical</v>
      </c>
    </row>
    <row r="14" customFormat="false" ht="15" hidden="false" customHeight="true" outlineLevel="0" collapsed="false">
      <c r="A14" s="8" t="s">
        <v>131</v>
      </c>
      <c r="B14" s="8" t="s">
        <v>132</v>
      </c>
      <c r="C14" s="8" t="s">
        <v>77</v>
      </c>
      <c r="D14" s="24" t="s">
        <v>153</v>
      </c>
      <c r="E14" s="8" t="n">
        <v>2000</v>
      </c>
      <c r="F14" s="8" t="n">
        <v>836</v>
      </c>
      <c r="G14" s="8" t="n">
        <v>1164</v>
      </c>
      <c r="H14" s="25" t="n">
        <f aca="false">F14/E14</f>
        <v>0.418</v>
      </c>
      <c r="I14" s="8" t="n">
        <v>1.8</v>
      </c>
      <c r="J14" s="8"/>
      <c r="K14" s="8" t="n">
        <f aca="false">J14-I14</f>
        <v>-1.8</v>
      </c>
      <c r="L14" s="8" t="str">
        <f aca="false">IF(AND(K14&gt;=0,H14&lt;=0.8),"✓ Healthy",IF(K14&lt;-0.5,"⚠ Critical","⚡ Monitor"))</f>
        <v>⚠ Critical</v>
      </c>
    </row>
    <row r="15" customFormat="false" ht="15" hidden="false" customHeight="true" outlineLevel="0" collapsed="false">
      <c r="A15" s="8" t="s">
        <v>133</v>
      </c>
      <c r="B15" s="8" t="s">
        <v>134</v>
      </c>
      <c r="C15" s="8" t="s">
        <v>80</v>
      </c>
      <c r="D15" s="24" t="s">
        <v>153</v>
      </c>
      <c r="E15" s="8" t="n">
        <v>3500</v>
      </c>
      <c r="F15" s="8" t="n">
        <v>1510</v>
      </c>
      <c r="G15" s="8" t="n">
        <v>1990</v>
      </c>
      <c r="H15" s="25" t="n">
        <f aca="false">F15/E15</f>
        <v>0.431428571428571</v>
      </c>
      <c r="I15" s="8" t="n">
        <v>2.8</v>
      </c>
      <c r="J15" s="8"/>
      <c r="K15" s="8" t="n">
        <f aca="false">J15-I15</f>
        <v>-2.8</v>
      </c>
      <c r="L15" s="8" t="str">
        <f aca="false">IF(AND(K15&gt;=0,H15&lt;=0.8),"✓ Healthy",IF(K15&lt;-0.5,"⚠ Critical","⚡ Monitor"))</f>
        <v>⚠ Critical</v>
      </c>
    </row>
    <row r="18" customFormat="false" ht="17.35" hidden="false" customHeight="false" outlineLevel="0" collapsed="false">
      <c r="A18" s="23" t="s">
        <v>154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7" min="6" style="1" width="12"/>
    <col collapsed="false" customWidth="true" hidden="false" outlineLevel="0" max="9" min="8" style="1" width="14"/>
  </cols>
  <sheetData>
    <row r="1" customFormat="false" ht="19.5" hidden="false" customHeight="true" outlineLevel="0" collapsed="false">
      <c r="A1" s="9" t="s">
        <v>155</v>
      </c>
      <c r="B1" s="9"/>
      <c r="C1" s="9"/>
      <c r="D1" s="9"/>
      <c r="E1" s="9"/>
      <c r="F1" s="9"/>
      <c r="G1" s="9"/>
      <c r="H1" s="9"/>
      <c r="I1" s="9"/>
    </row>
    <row r="3" customFormat="false" ht="15" hidden="false" customHeight="true" outlineLevel="0" collapsed="false">
      <c r="A3" s="6" t="s">
        <v>156</v>
      </c>
      <c r="B3" s="6" t="s">
        <v>139</v>
      </c>
      <c r="C3" s="6" t="s">
        <v>140</v>
      </c>
      <c r="D3" s="6" t="s">
        <v>6</v>
      </c>
      <c r="E3" s="6" t="s">
        <v>157</v>
      </c>
      <c r="F3" s="6" t="s">
        <v>137</v>
      </c>
      <c r="G3" s="6" t="s">
        <v>138</v>
      </c>
      <c r="H3" s="6" t="s">
        <v>158</v>
      </c>
      <c r="I3" s="6" t="s">
        <v>159</v>
      </c>
    </row>
    <row r="4" customFormat="false" ht="15" hidden="false" customHeight="true" outlineLevel="0" collapsed="false">
      <c r="A4" s="12" t="s">
        <v>160</v>
      </c>
      <c r="B4" s="12" t="n">
        <v>42000</v>
      </c>
      <c r="C4" s="12" t="n">
        <v>138600</v>
      </c>
      <c r="D4" s="12" t="n">
        <v>3.3</v>
      </c>
      <c r="E4" s="12" t="n">
        <v>3200</v>
      </c>
      <c r="F4" s="12" t="n">
        <v>13.13</v>
      </c>
      <c r="G4" s="12" t="n">
        <v>1.9</v>
      </c>
      <c r="H4" s="8" t="s">
        <v>161</v>
      </c>
      <c r="I4" s="8" t="s">
        <v>161</v>
      </c>
    </row>
    <row r="5" customFormat="false" ht="15" hidden="false" customHeight="true" outlineLevel="0" collapsed="false">
      <c r="A5" s="12" t="s">
        <v>162</v>
      </c>
      <c r="B5" s="12" t="n">
        <v>45000</v>
      </c>
      <c r="C5" s="12" t="n">
        <v>153000</v>
      </c>
      <c r="D5" s="12" t="n">
        <v>3.4</v>
      </c>
      <c r="E5" s="12" t="n">
        <v>3450</v>
      </c>
      <c r="F5" s="12" t="n">
        <v>13.04</v>
      </c>
      <c r="G5" s="12" t="n">
        <v>2</v>
      </c>
      <c r="H5" s="26" t="n">
        <f aca="false">(D5-D4)/D4</f>
        <v>0.0303030303030303</v>
      </c>
      <c r="I5" s="8" t="str">
        <f aca="false">IF(H5&gt;0.05,"↑ Strong",IF(H5&gt;0,"↗ Growing",IF(H5&gt;-0.05,"↘ Slight Dip","↓ Declining")))</f>
        <v>↗ Growing</v>
      </c>
    </row>
    <row r="6" customFormat="false" ht="15" hidden="false" customHeight="true" outlineLevel="0" collapsed="false">
      <c r="A6" s="12" t="s">
        <v>163</v>
      </c>
      <c r="B6" s="12" t="n">
        <v>48500</v>
      </c>
      <c r="C6" s="12" t="n">
        <v>169750</v>
      </c>
      <c r="D6" s="12" t="n">
        <v>3.5</v>
      </c>
      <c r="E6" s="12" t="n">
        <v>3720</v>
      </c>
      <c r="F6" s="12" t="n">
        <v>13.04</v>
      </c>
      <c r="G6" s="12" t="n">
        <v>2.1</v>
      </c>
      <c r="H6" s="26" t="n">
        <f aca="false">(D6-D5)/D5</f>
        <v>0.0294117647058824</v>
      </c>
      <c r="I6" s="8" t="str">
        <f aca="false">IF(H6&gt;0.05,"↑ Strong",IF(H6&gt;0,"↗ Growing",IF(H6&gt;-0.05,"↘ Slight Dip","↓ Declining")))</f>
        <v>↗ Growing</v>
      </c>
    </row>
    <row r="7" customFormat="false" ht="15" hidden="false" customHeight="true" outlineLevel="0" collapsed="false">
      <c r="A7" s="12" t="s">
        <v>164</v>
      </c>
      <c r="B7" s="12" t="n">
        <v>50000</v>
      </c>
      <c r="C7" s="12" t="n">
        <v>180000</v>
      </c>
      <c r="D7" s="12" t="n">
        <v>3.6</v>
      </c>
      <c r="E7" s="12" t="n">
        <v>3900</v>
      </c>
      <c r="F7" s="12" t="n">
        <v>12.82</v>
      </c>
      <c r="G7" s="12" t="n">
        <v>2.2</v>
      </c>
      <c r="H7" s="26" t="n">
        <f aca="false">(D7-D6)/D6</f>
        <v>0.0285714285714286</v>
      </c>
      <c r="I7" s="8" t="str">
        <f aca="false">IF(H7&gt;0.05,"↑ Strong",IF(H7&gt;0,"↗ Growing",IF(H7&gt;-0.05,"↘ Slight Dip","↓ Declining")))</f>
        <v>↗ Growing</v>
      </c>
    </row>
    <row r="8" customFormat="false" ht="15" hidden="false" customHeight="true" outlineLevel="0" collapsed="false">
      <c r="A8" s="12" t="s">
        <v>165</v>
      </c>
      <c r="B8" s="12" t="n">
        <v>47500</v>
      </c>
      <c r="C8" s="12" t="n">
        <v>166250</v>
      </c>
      <c r="D8" s="12" t="n">
        <v>3.5</v>
      </c>
      <c r="E8" s="12" t="n">
        <v>3650</v>
      </c>
      <c r="F8" s="12" t="n">
        <v>13.01</v>
      </c>
      <c r="G8" s="12" t="n">
        <v>2.1</v>
      </c>
      <c r="H8" s="26" t="n">
        <f aca="false">(D8-D7)/D7</f>
        <v>-0.0277777777777778</v>
      </c>
      <c r="I8" s="8" t="str">
        <f aca="false">IF(H8&gt;0.05,"↑ Strong",IF(H8&gt;0,"↗ Growing",IF(H8&gt;-0.05,"↘ Slight Dip","↓ Declining")))</f>
        <v>↘ Slight Dip</v>
      </c>
    </row>
    <row r="9" customFormat="false" ht="15" hidden="false" customHeight="true" outlineLevel="0" collapsed="false">
      <c r="A9" s="12" t="s">
        <v>166</v>
      </c>
      <c r="B9" s="12" t="n">
        <v>52000</v>
      </c>
      <c r="C9" s="12" t="n">
        <v>192400</v>
      </c>
      <c r="D9" s="12" t="n">
        <v>3.7</v>
      </c>
      <c r="E9" s="12" t="n">
        <v>4100</v>
      </c>
      <c r="F9" s="12" t="n">
        <v>12.68</v>
      </c>
      <c r="G9" s="12" t="n">
        <v>2.3</v>
      </c>
      <c r="H9" s="26" t="n">
        <f aca="false">(D9-D8)/D8</f>
        <v>0.0571428571428572</v>
      </c>
      <c r="I9" s="8" t="str">
        <f aca="false">IF(H9&gt;0.05,"↑ Strong",IF(H9&gt;0,"↗ Growing",IF(H9&gt;-0.05,"↘ Slight Dip","↓ Declining")))</f>
        <v>↑ Strong</v>
      </c>
    </row>
    <row r="10" customFormat="false" ht="15" hidden="false" customHeight="true" outlineLevel="0" collapsed="false">
      <c r="A10" s="12" t="s">
        <v>167</v>
      </c>
      <c r="B10" s="12" t="n">
        <v>55000</v>
      </c>
      <c r="C10" s="12" t="n">
        <v>209000</v>
      </c>
      <c r="D10" s="12" t="n">
        <v>3.8</v>
      </c>
      <c r="E10" s="12" t="n">
        <v>4350</v>
      </c>
      <c r="F10" s="12" t="n">
        <v>12.64</v>
      </c>
      <c r="G10" s="12" t="n">
        <v>2.4</v>
      </c>
      <c r="H10" s="26" t="n">
        <f aca="false">(D10-D9)/D9</f>
        <v>0.0270270270270269</v>
      </c>
      <c r="I10" s="8" t="str">
        <f aca="false">IF(H10&gt;0.05,"↑ Strong",IF(H10&gt;0,"↗ Growing",IF(H10&gt;-0.05,"↘ Slight Dip","↓ Declining")))</f>
        <v>↗ Growing</v>
      </c>
    </row>
    <row r="11" customFormat="false" ht="15" hidden="false" customHeight="true" outlineLevel="0" collapsed="false">
      <c r="A11" s="12" t="s">
        <v>168</v>
      </c>
      <c r="B11" s="12" t="n">
        <v>58000</v>
      </c>
      <c r="C11" s="12" t="n">
        <v>226200</v>
      </c>
      <c r="D11" s="12" t="n">
        <v>3.9</v>
      </c>
      <c r="E11" s="12" t="n">
        <v>4600</v>
      </c>
      <c r="F11" s="12" t="n">
        <v>12.61</v>
      </c>
      <c r="G11" s="12" t="n">
        <v>2.5</v>
      </c>
      <c r="H11" s="26" t="n">
        <f aca="false">(D11-D10)/D10</f>
        <v>0.0263157894736842</v>
      </c>
      <c r="I11" s="8" t="str">
        <f aca="false">IF(H11&gt;0.05,"↑ Strong",IF(H11&gt;0,"↗ Growing",IF(H11&gt;-0.05,"↘ Slight Dip","↓ Declining")))</f>
        <v>↗ Growing</v>
      </c>
    </row>
    <row r="14" customFormat="false" ht="17.35" hidden="false" customHeight="false" outlineLevel="0" collapsed="false">
      <c r="A14" s="23" t="s">
        <v>169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0"/>
  </cols>
  <sheetData>
    <row r="1" customFormat="false" ht="19.5" hidden="false" customHeight="true" outlineLevel="0" collapsed="false">
      <c r="A1" s="9" t="s">
        <v>170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9" t="s">
        <v>171</v>
      </c>
    </row>
    <row r="4" customFormat="false" ht="15" hidden="false" customHeight="true" outlineLevel="0" collapsed="false">
      <c r="A4" s="14" t="s">
        <v>172</v>
      </c>
    </row>
    <row r="5" customFormat="false" ht="15" hidden="false" customHeight="true" outlineLevel="0" collapsed="false">
      <c r="A5" s="22" t="s">
        <v>173</v>
      </c>
      <c r="B5" s="3" t="s">
        <v>174</v>
      </c>
    </row>
    <row r="6" customFormat="false" ht="15" hidden="false" customHeight="true" outlineLevel="0" collapsed="false">
      <c r="A6" s="22" t="s">
        <v>175</v>
      </c>
      <c r="B6" s="3" t="s">
        <v>176</v>
      </c>
    </row>
    <row r="7" customFormat="false" ht="15" hidden="false" customHeight="true" outlineLevel="0" collapsed="false">
      <c r="A7" s="22" t="s">
        <v>177</v>
      </c>
      <c r="B7" s="27" t="n">
        <f aca="true">NOW()</f>
        <v>46041.3281762558</v>
      </c>
    </row>
    <row r="8" customFormat="false" ht="15" hidden="false" customHeight="true" outlineLevel="0" collapsed="false">
      <c r="A8" s="22" t="s">
        <v>178</v>
      </c>
      <c r="B8" s="3" t="s">
        <v>179</v>
      </c>
    </row>
    <row r="11" customFormat="false" ht="15" hidden="false" customHeight="true" outlineLevel="0" collapsed="false">
      <c r="A11" s="14" t="s">
        <v>180</v>
      </c>
    </row>
    <row r="12" customFormat="false" ht="15" hidden="false" customHeight="true" outlineLevel="0" collapsed="false">
      <c r="A12" s="6" t="s">
        <v>99</v>
      </c>
      <c r="B12" s="6" t="s">
        <v>181</v>
      </c>
      <c r="C12" s="6" t="s">
        <v>103</v>
      </c>
      <c r="D12" s="6" t="s">
        <v>104</v>
      </c>
      <c r="E12" s="6" t="s">
        <v>182</v>
      </c>
      <c r="F12" s="6" t="s">
        <v>30</v>
      </c>
      <c r="G12" s="6" t="s">
        <v>183</v>
      </c>
    </row>
    <row r="13" customFormat="false" ht="15" hidden="false" customHeight="true" outlineLevel="0" collapsed="false">
      <c r="A13" s="21"/>
      <c r="B13" s="21"/>
      <c r="C13" s="21"/>
      <c r="D13" s="21"/>
      <c r="E13" s="21"/>
      <c r="F13" s="21"/>
      <c r="G13" s="21"/>
    </row>
    <row r="14" customFormat="false" ht="15" hidden="false" customHeight="true" outlineLevel="0" collapsed="false">
      <c r="A14" s="21"/>
      <c r="B14" s="21"/>
      <c r="C14" s="21"/>
      <c r="D14" s="21"/>
      <c r="E14" s="21"/>
      <c r="F14" s="21"/>
      <c r="G14" s="21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1"/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1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1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1"/>
    </row>
    <row r="20" customFormat="false" ht="15" hidden="false" customHeight="true" outlineLevel="0" collapsed="false">
      <c r="A20" s="21"/>
      <c r="B20" s="21"/>
      <c r="C20" s="21"/>
      <c r="D20" s="21"/>
      <c r="E20" s="21"/>
      <c r="F20" s="21"/>
      <c r="G20" s="21"/>
    </row>
    <row r="21" customFormat="false" ht="15" hidden="false" customHeight="true" outlineLevel="0" collapsed="false">
      <c r="A21" s="21"/>
      <c r="B21" s="21"/>
      <c r="C21" s="21"/>
      <c r="D21" s="21"/>
      <c r="E21" s="21"/>
      <c r="F21" s="21"/>
      <c r="G21" s="21"/>
    </row>
    <row r="22" customFormat="false" ht="15" hidden="false" customHeight="true" outlineLevel="0" collapsed="false">
      <c r="A22" s="21"/>
      <c r="B22" s="21"/>
      <c r="C22" s="21"/>
      <c r="D22" s="21"/>
      <c r="E22" s="21"/>
      <c r="F22" s="21"/>
      <c r="G22" s="2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2026-01-19T07:14:53Z</dcterms:created>
  <dc:creator>openpyxl</dc:creator>
  <dc:description/>
  <dc:language>en-US</dc:language>
  <cp:lastModifiedBy/>
  <dcterms:modified xsi:type="dcterms:W3CDTF">2026-01-19T07:52:34Z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