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DB" sheetId="2" state="visible" r:id="rId2"/>
    <sheet xmlns:r="http://schemas.openxmlformats.org/officeDocument/2006/relationships" name="Labor_Machine_DB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Costing_Engine" sheetId="5" state="visible" r:id="rId5"/>
    <sheet xmlns:r="http://schemas.openxmlformats.org/officeDocument/2006/relationships" name="Quote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sz val="16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4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'Dashboard'!$A$21:$A$23</f>
            </numRef>
          </cat>
          <val>
            <numRef>
              <f>'Dashboard'!$B$21:$B$23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vs Quote Price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'Dashboard'!$D$21:$D$22</f>
            </numRef>
          </cat>
          <val>
            <numRef>
              <f>'Dashboard'!$E$21:$E$22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EXECUTIVE DASHBOARD</t>
        </is>
      </c>
    </row>
    <row r="15">
      <c r="A15" s="9" t="inlineStr">
        <is>
          <t>Total Estimated Cost:</t>
        </is>
      </c>
      <c r="B15" s="10">
        <f>Costing_Engine!H7</f>
        <v/>
      </c>
    </row>
    <row r="16">
      <c r="A16" s="9" t="inlineStr">
        <is>
          <t>Total Quote Price:</t>
        </is>
      </c>
      <c r="B16" s="10">
        <f>Costing_Engine!H8</f>
        <v/>
      </c>
    </row>
    <row r="17">
      <c r="A17" s="9" t="inlineStr">
        <is>
          <t>Estimated Profit:</t>
        </is>
      </c>
      <c r="B17" s="10">
        <f>B16-B15</f>
        <v/>
      </c>
    </row>
    <row r="20">
      <c r="A20" t="inlineStr">
        <is>
          <t>Category</t>
        </is>
      </c>
      <c r="B20" t="inlineStr">
        <is>
          <t>Cost</t>
        </is>
      </c>
      <c r="D20" t="inlineStr">
        <is>
          <t>Metric</t>
        </is>
      </c>
      <c r="E20" t="inlineStr">
        <is>
          <t>Value</t>
        </is>
      </c>
    </row>
    <row r="21">
      <c r="A21" t="inlineStr">
        <is>
          <t>Material</t>
        </is>
      </c>
      <c r="B21">
        <f>Costing_Engine!H2</f>
        <v/>
      </c>
      <c r="D21" t="inlineStr">
        <is>
          <t>Prime Cost</t>
        </is>
      </c>
      <c r="E21">
        <f>Costing_Engine!H7</f>
        <v/>
      </c>
    </row>
    <row r="22">
      <c r="A22" t="inlineStr">
        <is>
          <t>Labor</t>
        </is>
      </c>
      <c r="B22">
        <f>Costing_Engine!H3</f>
        <v/>
      </c>
      <c r="D22" t="inlineStr">
        <is>
          <t>Total Quote</t>
        </is>
      </c>
      <c r="E22">
        <f>Costing_Engine!H8</f>
        <v/>
      </c>
    </row>
    <row r="23">
      <c r="A23" t="inlineStr">
        <is>
          <t>Overheads</t>
        </is>
      </c>
      <c r="B23">
        <f>Costing_Engine!H4 + Costing_Engine!H6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cols>
    <col width="20.7109375" customWidth="1" min="1" max="26"/>
  </cols>
  <sheetData>
    <row r="1">
      <c r="A1" s="2" t="inlineStr">
        <is>
          <t>Part Number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Unit Cost</t>
        </is>
      </c>
      <c r="E1" s="2" t="inlineStr">
        <is>
          <t>Category</t>
        </is>
      </c>
    </row>
    <row r="2">
      <c r="A2" s="3" t="inlineStr">
        <is>
          <t>MAT-001</t>
        </is>
      </c>
      <c r="B2" s="3" t="inlineStr">
        <is>
          <t>Steel Sheet 2mm</t>
        </is>
      </c>
      <c r="C2" s="3" t="inlineStr">
        <is>
          <t>m2</t>
        </is>
      </c>
      <c r="D2" s="3" t="n">
        <v>25.5</v>
      </c>
      <c r="E2" s="3" t="inlineStr">
        <is>
          <t>Raw Material</t>
        </is>
      </c>
    </row>
    <row r="3">
      <c r="A3" s="3" t="inlineStr">
        <is>
          <t>MAT-002</t>
        </is>
      </c>
      <c r="B3" s="3" t="inlineStr">
        <is>
          <t>Aluminum Rod 10mm</t>
        </is>
      </c>
      <c r="C3" s="3" t="inlineStr">
        <is>
          <t>m</t>
        </is>
      </c>
      <c r="D3" s="3" t="n">
        <v>12</v>
      </c>
      <c r="E3" s="3" t="inlineStr">
        <is>
          <t>Raw Material</t>
        </is>
      </c>
    </row>
    <row r="4">
      <c r="A4" s="3" t="inlineStr">
        <is>
          <t>MAT-003</t>
        </is>
      </c>
      <c r="B4" s="3" t="inlineStr">
        <is>
          <t>Copper Wire</t>
        </is>
      </c>
      <c r="C4" s="3" t="inlineStr">
        <is>
          <t>m</t>
        </is>
      </c>
      <c r="D4" s="3" t="n">
        <v>8.75</v>
      </c>
      <c r="E4" s="3" t="inlineStr">
        <is>
          <t>Electrical</t>
        </is>
      </c>
    </row>
    <row r="5">
      <c r="A5" s="3" t="inlineStr">
        <is>
          <t>MAT-004</t>
        </is>
      </c>
      <c r="B5" s="3" t="inlineStr">
        <is>
          <t>Plastic Housing</t>
        </is>
      </c>
      <c r="C5" s="3" t="inlineStr">
        <is>
          <t>pcs</t>
        </is>
      </c>
      <c r="D5" s="3" t="n">
        <v>5.2</v>
      </c>
      <c r="E5" s="3" t="inlineStr">
        <is>
          <t>Components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.7109375" customWidth="1" min="1" max="26"/>
  </cols>
  <sheetData>
    <row r="1">
      <c r="A1" s="2" t="inlineStr">
        <is>
          <t>Role/Machine</t>
        </is>
      </c>
      <c r="B1" s="2" t="inlineStr">
        <is>
          <t>Hourly Rate</t>
        </is>
      </c>
      <c r="C1" s="2" t="inlineStr">
        <is>
          <t>Burden %</t>
        </is>
      </c>
      <c r="D1" s="2" t="inlineStr">
        <is>
          <t>Total Hourly Cost</t>
        </is>
      </c>
    </row>
    <row r="2">
      <c r="A2" s="3" t="inlineStr">
        <is>
          <t>Senior Technician</t>
        </is>
      </c>
      <c r="B2" s="3" t="n">
        <v>45</v>
      </c>
      <c r="C2" s="3" t="n">
        <v>0.25</v>
      </c>
      <c r="D2" s="3" t="n">
        <v>56.25</v>
      </c>
    </row>
    <row r="3">
      <c r="A3" s="3" t="inlineStr">
        <is>
          <t>Junior Operator</t>
        </is>
      </c>
      <c r="B3" s="3" t="n">
        <v>25</v>
      </c>
      <c r="C3" s="3" t="n">
        <v>0.2</v>
      </c>
      <c r="D3" s="3" t="n">
        <v>30</v>
      </c>
    </row>
    <row r="4">
      <c r="A4" s="3" t="inlineStr">
        <is>
          <t>CNC Machine</t>
        </is>
      </c>
      <c r="B4" s="3" t="n">
        <v>80</v>
      </c>
      <c r="C4" s="3" t="n">
        <v>0.15</v>
      </c>
      <c r="D4" s="3" t="n">
        <v>92</v>
      </c>
    </row>
    <row r="5">
      <c r="A5" s="3" t="inlineStr">
        <is>
          <t>Assembly Line</t>
        </is>
      </c>
      <c r="B5" s="3" t="n">
        <v>15</v>
      </c>
      <c r="C5" s="3" t="n">
        <v>0.1</v>
      </c>
      <c r="D5" s="3" t="n">
        <v>16.5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.7109375" customWidth="1" min="1" max="26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Description</t>
        </is>
      </c>
    </row>
    <row r="2">
      <c r="A2" s="3" t="inlineStr">
        <is>
          <t>Target Margin %</t>
        </is>
      </c>
      <c r="B2" s="3" t="n">
        <v>0.2</v>
      </c>
      <c r="C2" s="3" t="inlineStr">
        <is>
          <t>Desired profit margin</t>
        </is>
      </c>
    </row>
    <row r="3">
      <c r="A3" s="3" t="inlineStr">
        <is>
          <t>Manufacturing Overhead %</t>
        </is>
      </c>
      <c r="B3" s="3" t="n">
        <v>0.15</v>
      </c>
      <c r="C3" s="3" t="inlineStr">
        <is>
          <t>Applied to direct costs</t>
        </is>
      </c>
    </row>
    <row r="4">
      <c r="A4" s="3" t="inlineStr">
        <is>
          <t>Admin/Sales Overhead %</t>
        </is>
      </c>
      <c r="B4" s="3" t="n">
        <v>0.1</v>
      </c>
      <c r="C4" s="3" t="inlineStr">
        <is>
          <t>Applied to production costs</t>
        </is>
      </c>
    </row>
    <row r="5">
      <c r="A5" s="3" t="inlineStr">
        <is>
          <t>Tax Rate %</t>
        </is>
      </c>
      <c r="B5" s="3" t="n">
        <v>0.08</v>
      </c>
      <c r="C5" s="3" t="inlineStr">
        <is>
          <t>Sales tax</t>
        </is>
      </c>
    </row>
    <row r="6">
      <c r="A6" s="3" t="inlineStr">
        <is>
          <t>Currency</t>
        </is>
      </c>
      <c r="B6" s="3" t="inlineStr">
        <is>
          <t>USD</t>
        </is>
      </c>
      <c r="C6" s="3" t="inlineStr">
        <is>
          <t>Base currency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0.7109375" customWidth="1" min="1" max="26"/>
  </cols>
  <sheetData>
    <row r="1">
      <c r="A1" s="4" t="inlineStr">
        <is>
          <t>Category</t>
        </is>
      </c>
      <c r="B1" s="4" t="inlineStr">
        <is>
          <t>Item Name</t>
        </is>
      </c>
      <c r="C1" s="4" t="inlineStr">
        <is>
          <t>Quantity/Hours</t>
        </is>
      </c>
      <c r="D1" s="4" t="inlineStr">
        <is>
          <t>Unit Rate</t>
        </is>
      </c>
      <c r="E1" s="4" t="inlineStr">
        <is>
          <t>Total Cost</t>
        </is>
      </c>
      <c r="F1" s="4" t="inlineStr">
        <is>
          <t>Notes</t>
        </is>
      </c>
      <c r="G1" s="5" t="inlineStr">
        <is>
          <t>Cost Summary</t>
        </is>
      </c>
      <c r="H1" s="3" t="n"/>
    </row>
    <row r="2">
      <c r="A2" s="3" t="inlineStr">
        <is>
          <t>Material</t>
        </is>
      </c>
      <c r="B2" s="3" t="inlineStr">
        <is>
          <t>Steel Sheet 2mm</t>
        </is>
      </c>
      <c r="C2" s="3" t="n">
        <v>10</v>
      </c>
      <c r="D2" s="3">
        <f>IFERROR(IF(A2="Material", XLOOKUP(B2, Material_DB!B:B, Material_DB!D:D, 0), XLOOKUP(B2, Labor_Machine_DB!A:A, Labor_Machine_DB!D:D, 0)), 0)</f>
        <v/>
      </c>
      <c r="E2" s="3">
        <f>IFERROR(C2*D2, 0)</f>
        <v/>
      </c>
      <c r="F2" s="3" t="n"/>
      <c r="G2" s="3" t="inlineStr">
        <is>
          <t>Total Direct Material</t>
        </is>
      </c>
      <c r="H2" s="3">
        <f>SUMIF(A:A, "Material", E:E)</f>
        <v/>
      </c>
    </row>
    <row r="3">
      <c r="A3" s="3" t="inlineStr">
        <is>
          <t>Labor</t>
        </is>
      </c>
      <c r="B3" s="3" t="inlineStr">
        <is>
          <t>Senior Technician</t>
        </is>
      </c>
      <c r="C3" s="3" t="n">
        <v>5</v>
      </c>
      <c r="D3" s="3">
        <f>IFERROR(IF(A3="Material", XLOOKUP(B3, Material_DB!B:B, Material_DB!D:D, 0), XLOOKUP(B3, Labor_Machine_DB!A:A, Labor_Machine_DB!D:D, 0)), 0)</f>
        <v/>
      </c>
      <c r="E3" s="3">
        <f>IFERROR(C3*D3, 0)</f>
        <v/>
      </c>
      <c r="F3" s="3" t="n"/>
      <c r="G3" s="3" t="inlineStr">
        <is>
          <t>Total Direct Labor</t>
        </is>
      </c>
      <c r="H3" s="3">
        <f>SUMIF(A:A, "Labor", E:E)</f>
        <v/>
      </c>
    </row>
    <row r="4">
      <c r="A4" s="3" t="n"/>
      <c r="B4" s="3" t="n"/>
      <c r="C4" s="3" t="n"/>
      <c r="D4" s="3">
        <f>IFERROR(IF(A4="Material", XLOOKUP(B4, Material_DB!B:B, Material_DB!D:D, 0), XLOOKUP(B4, Labor_Machine_DB!A:A, Labor_Machine_DB!D:D, 0)), 0)</f>
        <v/>
      </c>
      <c r="E4" s="3">
        <f>IFERROR(C4*D4, 0)</f>
        <v/>
      </c>
      <c r="F4" s="3" t="n"/>
      <c r="G4" s="3" t="inlineStr">
        <is>
          <t>Manufacturing Overhead</t>
        </is>
      </c>
      <c r="H4" s="3">
        <f>(H2+H3)*Settings!$B$3</f>
        <v/>
      </c>
    </row>
    <row r="5">
      <c r="A5" s="3" t="n"/>
      <c r="B5" s="3" t="n"/>
      <c r="C5" s="3" t="n"/>
      <c r="D5" s="3">
        <f>IFERROR(IF(A5="Material", XLOOKUP(B5, Material_DB!B:B, Material_DB!D:D, 0), XLOOKUP(B5, Labor_Machine_DB!A:A, Labor_Machine_DB!D:D, 0)), 0)</f>
        <v/>
      </c>
      <c r="E5" s="3">
        <f>IFERROR(C5*D5, 0)</f>
        <v/>
      </c>
      <c r="F5" s="3" t="n"/>
      <c r="G5" s="3" t="inlineStr">
        <is>
          <t>Total Production Cost</t>
        </is>
      </c>
      <c r="H5" s="3">
        <f>H2+H3+H4</f>
        <v/>
      </c>
    </row>
    <row r="6">
      <c r="A6" s="3" t="n"/>
      <c r="B6" s="3" t="n"/>
      <c r="C6" s="3" t="n"/>
      <c r="D6" s="3">
        <f>IFERROR(IF(A6="Material", XLOOKUP(B6, Material_DB!B:B, Material_DB!D:D, 0), XLOOKUP(B6, Labor_Machine_DB!A:A, Labor_Machine_DB!D:D, 0)), 0)</f>
        <v/>
      </c>
      <c r="E6" s="3">
        <f>IFERROR(C6*D6, 0)</f>
        <v/>
      </c>
      <c r="F6" s="3" t="n"/>
      <c r="G6" s="3" t="inlineStr">
        <is>
          <t>Admin/Sales Overhead</t>
        </is>
      </c>
      <c r="H6" s="3">
        <f>H5*Settings!$B$4</f>
        <v/>
      </c>
    </row>
    <row r="7">
      <c r="A7" s="3" t="n"/>
      <c r="B7" s="3" t="n"/>
      <c r="C7" s="3" t="n"/>
      <c r="D7" s="3">
        <f>IFERROR(IF(A7="Material", XLOOKUP(B7, Material_DB!B:B, Material_DB!D:D, 0), XLOOKUP(B7, Labor_Machine_DB!A:A, Labor_Machine_DB!D:D, 0)), 0)</f>
        <v/>
      </c>
      <c r="E7" s="3">
        <f>IFERROR(C7*D7, 0)</f>
        <v/>
      </c>
      <c r="F7" s="3" t="n"/>
      <c r="G7" s="3" t="inlineStr">
        <is>
          <t>Prime Cost</t>
        </is>
      </c>
      <c r="H7" s="3">
        <f>H5+H6</f>
        <v/>
      </c>
    </row>
    <row r="8">
      <c r="A8" s="3" t="n"/>
      <c r="B8" s="3" t="n"/>
      <c r="C8" s="3" t="n"/>
      <c r="D8" s="3">
        <f>IFERROR(IF(A8="Material", XLOOKUP(B8, Material_DB!B:B, Material_DB!D:D, 0), XLOOKUP(B8, Labor_Machine_DB!A:A, Labor_Machine_DB!D:D, 0)), 0)</f>
        <v/>
      </c>
      <c r="E8" s="3">
        <f>IFERROR(C8*D8, 0)</f>
        <v/>
      </c>
      <c r="F8" s="3" t="n"/>
      <c r="G8" s="3" t="inlineStr">
        <is>
          <t>Final Quote Price</t>
        </is>
      </c>
      <c r="H8" s="3">
        <f>H7/(1-Settings!$B$2)</f>
        <v/>
      </c>
    </row>
    <row r="9">
      <c r="D9">
        <f>IFERROR(IF(A9="Material", XLOOKUP(B9, Material_DB!B:B, Material_DB!D:D, 0), XLOOKUP(B9, Labor_Machine_DB!A:A, Labor_Machine_DB!D:D, 0)), 0)</f>
        <v/>
      </c>
      <c r="E9">
        <f>IFERROR(C9*D9, 0)</f>
        <v/>
      </c>
      <c r="G9" t="inlineStr">
        <is>
          <t>Margin Check</t>
        </is>
      </c>
      <c r="H9">
        <f>IF(Settings!B2&lt;0.1, "LOW MARGIN WARNING", "Margin OK")</f>
        <v/>
      </c>
    </row>
    <row r="10">
      <c r="D10">
        <f>IFERROR(IF(A10="Material", XLOOKUP(B10, Material_DB!B:B, Material_DB!D:D, 0), XLOOKUP(B10, Labor_Machine_DB!A:A, Labor_Machine_DB!D:D, 0)), 0)</f>
        <v/>
      </c>
      <c r="E10">
        <f>IFERROR(C10*D10, 0)</f>
        <v/>
      </c>
    </row>
    <row r="11">
      <c r="D11">
        <f>IFERROR(IF(A11="Material", XLOOKUP(B11, Material_DB!B:B, Material_DB!D:D, 0), XLOOKUP(B11, Labor_Machine_DB!A:A, Labor_Machine_DB!D:D, 0)), 0)</f>
        <v/>
      </c>
      <c r="E11">
        <f>IFERROR(C11*D11, 0)</f>
        <v/>
      </c>
    </row>
    <row r="12">
      <c r="D12">
        <f>IFERROR(IF(A12="Material", XLOOKUP(B12, Material_DB!B:B, Material_DB!D:D, 0), XLOOKUP(B12, Labor_Machine_DB!A:A, Labor_Machine_DB!D:D, 0)), 0)</f>
        <v/>
      </c>
      <c r="E12">
        <f>IFERROR(C12*D12, 0)</f>
        <v/>
      </c>
    </row>
    <row r="13">
      <c r="D13">
        <f>IFERROR(IF(A13="Material", XLOOKUP(B13, Material_DB!B:B, Material_DB!D:D, 0), XLOOKUP(B13, Labor_Machine_DB!A:A, Labor_Machine_DB!D:D, 0)), 0)</f>
        <v/>
      </c>
      <c r="E13">
        <f>IFERROR(C13*D13, 0)</f>
        <v/>
      </c>
    </row>
    <row r="14">
      <c r="D14">
        <f>IFERROR(IF(A14="Material", XLOOKUP(B14, Material_DB!B:B, Material_DB!D:D, 0), XLOOKUP(B14, Labor_Machine_DB!A:A, Labor_Machine_DB!D:D, 0)), 0)</f>
        <v/>
      </c>
      <c r="E14">
        <f>IFERROR(C14*D14, 0)</f>
        <v/>
      </c>
    </row>
    <row r="15">
      <c r="D15">
        <f>IFERROR(IF(A15="Material", XLOOKUP(B15, Material_DB!B:B, Material_DB!D:D, 0), XLOOKUP(B15, Labor_Machine_DB!A:A, Labor_Machine_DB!D:D, 0)), 0)</f>
        <v/>
      </c>
      <c r="E15">
        <f>IFERROR(C15*D15, 0)</f>
        <v/>
      </c>
    </row>
    <row r="16">
      <c r="D16">
        <f>IFERROR(IF(A16="Material", XLOOKUP(B16, Material_DB!B:B, Material_DB!D:D, 0), XLOOKUP(B16, Labor_Machine_DB!A:A, Labor_Machine_DB!D:D, 0)), 0)</f>
        <v/>
      </c>
      <c r="E16">
        <f>IFERROR(C16*D16, 0)</f>
        <v/>
      </c>
    </row>
    <row r="17">
      <c r="D17">
        <f>IFERROR(IF(A17="Material", XLOOKUP(B17, Material_DB!B:B, Material_DB!D:D, 0), XLOOKUP(B17, Labor_Machine_DB!A:A, Labor_Machine_DB!D:D, 0)), 0)</f>
        <v/>
      </c>
      <c r="E17">
        <f>IFERROR(C17*D17, 0)</f>
        <v/>
      </c>
    </row>
    <row r="18">
      <c r="D18">
        <f>IFERROR(IF(A18="Material", XLOOKUP(B18, Material_DB!B:B, Material_DB!D:D, 0), XLOOKUP(B18, Labor_Machine_DB!A:A, Labor_Machine_DB!D:D, 0)), 0)</f>
        <v/>
      </c>
      <c r="E18">
        <f>IFERROR(C18*D18, 0)</f>
        <v/>
      </c>
    </row>
    <row r="19">
      <c r="D19">
        <f>IFERROR(IF(A19="Material", XLOOKUP(B19, Material_DB!B:B, Material_DB!D:D, 0), XLOOKUP(B19, Labor_Machine_DB!A:A, Labor_Machine_DB!D:D, 0)), 0)</f>
        <v/>
      </c>
      <c r="E19">
        <f>IFERROR(C19*D19, 0)</f>
        <v/>
      </c>
    </row>
    <row r="20">
      <c r="D20">
        <f>IFERROR(IF(A20="Material", XLOOKUP(B20, Material_DB!B:B, Material_DB!D:D, 0), XLOOKUP(B20, Labor_Machine_DB!A:A, Labor_Machine_DB!D:D, 0)), 0)</f>
        <v/>
      </c>
      <c r="E20">
        <f>IFERROR(C20*D20, 0)</f>
        <v/>
      </c>
    </row>
    <row r="21">
      <c r="D21">
        <f>IFERROR(IF(A21="Material", XLOOKUP(B21, Material_DB!B:B, Material_DB!D:D, 0), XLOOKUP(B21, Labor_Machine_DB!A:A, Labor_Machine_DB!D:D, 0)), 0)</f>
        <v/>
      </c>
      <c r="E21">
        <f>IFERROR(C21*D21, 0)</f>
        <v/>
      </c>
    </row>
    <row r="22">
      <c r="D22">
        <f>IFERROR(IF(A22="Material", XLOOKUP(B22, Material_DB!B:B, Material_DB!D:D, 0), XLOOKUP(B22, Labor_Machine_DB!A:A, Labor_Machine_DB!D:D, 0)), 0)</f>
        <v/>
      </c>
      <c r="E22">
        <f>IFERROR(C22*D22, 0)</f>
        <v/>
      </c>
    </row>
    <row r="23">
      <c r="D23">
        <f>IFERROR(IF(A23="Material", XLOOKUP(B23, Material_DB!B:B, Material_DB!D:D, 0), XLOOKUP(B23, Labor_Machine_DB!A:A, Labor_Machine_DB!D:D, 0)), 0)</f>
        <v/>
      </c>
      <c r="E23">
        <f>IFERROR(C23*D23, 0)</f>
        <v/>
      </c>
    </row>
    <row r="24">
      <c r="D24">
        <f>IFERROR(IF(A24="Material", XLOOKUP(B24, Material_DB!B:B, Material_DB!D:D, 0), XLOOKUP(B24, Labor_Machine_DB!A:A, Labor_Machine_DB!D:D, 0)), 0)</f>
        <v/>
      </c>
      <c r="E24">
        <f>IFERROR(C24*D24, 0)</f>
        <v/>
      </c>
    </row>
    <row r="25">
      <c r="D25">
        <f>IFERROR(IF(A25="Material", XLOOKUP(B25, Material_DB!B:B, Material_DB!D:D, 0), XLOOKUP(B25, Labor_Machine_DB!A:A, Labor_Machine_DB!D:D, 0)), 0)</f>
        <v/>
      </c>
      <c r="E25">
        <f>IFERROR(C25*D25, 0)</f>
        <v/>
      </c>
    </row>
    <row r="26">
      <c r="D26">
        <f>IFERROR(IF(A26="Material", XLOOKUP(B26, Material_DB!B:B, Material_DB!D:D, 0), XLOOKUP(B26, Labor_Machine_DB!A:A, Labor_Machine_DB!D:D, 0)), 0)</f>
        <v/>
      </c>
      <c r="E26">
        <f>IFERROR(C26*D26, 0)</f>
        <v/>
      </c>
    </row>
    <row r="27">
      <c r="D27">
        <f>IFERROR(IF(A27="Material", XLOOKUP(B27, Material_DB!B:B, Material_DB!D:D, 0), XLOOKUP(B27, Labor_Machine_DB!A:A, Labor_Machine_DB!D:D, 0)), 0)</f>
        <v/>
      </c>
      <c r="E27">
        <f>IFERROR(C27*D27, 0)</f>
        <v/>
      </c>
    </row>
    <row r="28">
      <c r="D28">
        <f>IFERROR(IF(A28="Material", XLOOKUP(B28, Material_DB!B:B, Material_DB!D:D, 0), XLOOKUP(B28, Labor_Machine_DB!A:A, Labor_Machine_DB!D:D, 0)), 0)</f>
        <v/>
      </c>
      <c r="E28">
        <f>IFERROR(C28*D28, 0)</f>
        <v/>
      </c>
    </row>
    <row r="29">
      <c r="D29">
        <f>IFERROR(IF(A29="Material", XLOOKUP(B29, Material_DB!B:B, Material_DB!D:D, 0), XLOOKUP(B29, Labor_Machine_DB!A:A, Labor_Machine_DB!D:D, 0)), 0)</f>
        <v/>
      </c>
      <c r="E29">
        <f>IFERROR(C29*D29, 0)</f>
        <v/>
      </c>
    </row>
    <row r="30">
      <c r="D30">
        <f>IFERROR(IF(A30="Material", XLOOKUP(B30, Material_DB!B:B, Material_DB!D:D, 0), XLOOKUP(B30, Labor_Machine_DB!A:A, Labor_Machine_DB!D:D, 0)), 0)</f>
        <v/>
      </c>
      <c r="E30">
        <f>IFERROR(C30*D30, 0)</f>
        <v/>
      </c>
    </row>
    <row r="31">
      <c r="D31">
        <f>IFERROR(IF(A31="Material", XLOOKUP(B31, Material_DB!B:B, Material_DB!D:D, 0), XLOOKUP(B31, Labor_Machine_DB!A:A, Labor_Machine_DB!D:D, 0)), 0)</f>
        <v/>
      </c>
      <c r="E31">
        <f>IFERROR(C31*D31, 0)</f>
        <v/>
      </c>
    </row>
    <row r="32">
      <c r="D32">
        <f>IFERROR(IF(A32="Material", XLOOKUP(B32, Material_DB!B:B, Material_DB!D:D, 0), XLOOKUP(B32, Labor_Machine_DB!A:A, Labor_Machine_DB!D:D, 0)), 0)</f>
        <v/>
      </c>
      <c r="E32">
        <f>IFERROR(C32*D32, 0)</f>
        <v/>
      </c>
    </row>
    <row r="33">
      <c r="D33">
        <f>IFERROR(IF(A33="Material", XLOOKUP(B33, Material_DB!B:B, Material_DB!D:D, 0), XLOOKUP(B33, Labor_Machine_DB!A:A, Labor_Machine_DB!D:D, 0)), 0)</f>
        <v/>
      </c>
      <c r="E33">
        <f>IFERROR(C33*D33, 0)</f>
        <v/>
      </c>
    </row>
    <row r="34">
      <c r="D34">
        <f>IFERROR(IF(A34="Material", XLOOKUP(B34, Material_DB!B:B, Material_DB!D:D, 0), XLOOKUP(B34, Labor_Machine_DB!A:A, Labor_Machine_DB!D:D, 0)), 0)</f>
        <v/>
      </c>
      <c r="E34">
        <f>IFERROR(C34*D34, 0)</f>
        <v/>
      </c>
    </row>
    <row r="35">
      <c r="D35">
        <f>IFERROR(IF(A35="Material", XLOOKUP(B35, Material_DB!B:B, Material_DB!D:D, 0), XLOOKUP(B35, Labor_Machine_DB!A:A, Labor_Machine_DB!D:D, 0)), 0)</f>
        <v/>
      </c>
      <c r="E35">
        <f>IFERROR(C35*D35, 0)</f>
        <v/>
      </c>
    </row>
    <row r="36">
      <c r="D36">
        <f>IFERROR(IF(A36="Material", XLOOKUP(B36, Material_DB!B:B, Material_DB!D:D, 0), XLOOKUP(B36, Labor_Machine_DB!A:A, Labor_Machine_DB!D:D, 0)), 0)</f>
        <v/>
      </c>
      <c r="E36">
        <f>IFERROR(C36*D36, 0)</f>
        <v/>
      </c>
    </row>
    <row r="37">
      <c r="D37">
        <f>IFERROR(IF(A37="Material", XLOOKUP(B37, Material_DB!B:B, Material_DB!D:D, 0), XLOOKUP(B37, Labor_Machine_DB!A:A, Labor_Machine_DB!D:D, 0)), 0)</f>
        <v/>
      </c>
      <c r="E37">
        <f>IFERROR(C37*D37, 0)</f>
        <v/>
      </c>
    </row>
    <row r="38">
      <c r="D38">
        <f>IFERROR(IF(A38="Material", XLOOKUP(B38, Material_DB!B:B, Material_DB!D:D, 0), XLOOKUP(B38, Labor_Machine_DB!A:A, Labor_Machine_DB!D:D, 0)), 0)</f>
        <v/>
      </c>
      <c r="E38">
        <f>IFERROR(C38*D38, 0)</f>
        <v/>
      </c>
    </row>
    <row r="39">
      <c r="D39">
        <f>IFERROR(IF(A39="Material", XLOOKUP(B39, Material_DB!B:B, Material_DB!D:D, 0), XLOOKUP(B39, Labor_Machine_DB!A:A, Labor_Machine_DB!D:D, 0)), 0)</f>
        <v/>
      </c>
      <c r="E39">
        <f>IFERROR(C39*D39, 0)</f>
        <v/>
      </c>
    </row>
    <row r="40">
      <c r="D40">
        <f>IFERROR(IF(A40="Material", XLOOKUP(B40, Material_DB!B:B, Material_DB!D:D, 0), XLOOKUP(B40, Labor_Machine_DB!A:A, Labor_Machine_DB!D:D, 0)), 0)</f>
        <v/>
      </c>
      <c r="E40">
        <f>IFERROR(C40*D40, 0)</f>
        <v/>
      </c>
    </row>
    <row r="41">
      <c r="D41">
        <f>IFERROR(IF(A41="Material", XLOOKUP(B41, Material_DB!B:B, Material_DB!D:D, 0), XLOOKUP(B41, Labor_Machine_DB!A:A, Labor_Machine_DB!D:D, 0)), 0)</f>
        <v/>
      </c>
      <c r="E41">
        <f>IFERROR(C41*D41, 0)</f>
        <v/>
      </c>
    </row>
    <row r="42">
      <c r="D42">
        <f>IFERROR(IF(A42="Material", XLOOKUP(B42, Material_DB!B:B, Material_DB!D:D, 0), XLOOKUP(B42, Labor_Machine_DB!A:A, Labor_Machine_DB!D:D, 0)), 0)</f>
        <v/>
      </c>
      <c r="E42">
        <f>IFERROR(C42*D42, 0)</f>
        <v/>
      </c>
    </row>
    <row r="43">
      <c r="D43">
        <f>IFERROR(IF(A43="Material", XLOOKUP(B43, Material_DB!B:B, Material_DB!D:D, 0), XLOOKUP(B43, Labor_Machine_DB!A:A, Labor_Machine_DB!D:D, 0)), 0)</f>
        <v/>
      </c>
      <c r="E43">
        <f>IFERROR(C43*D43, 0)</f>
        <v/>
      </c>
    </row>
    <row r="44">
      <c r="D44">
        <f>IFERROR(IF(A44="Material", XLOOKUP(B44, Material_DB!B:B, Material_DB!D:D, 0), XLOOKUP(B44, Labor_Machine_DB!A:A, Labor_Machine_DB!D:D, 0)), 0)</f>
        <v/>
      </c>
      <c r="E44">
        <f>IFERROR(C44*D44, 0)</f>
        <v/>
      </c>
    </row>
    <row r="45">
      <c r="D45">
        <f>IFERROR(IF(A45="Material", XLOOKUP(B45, Material_DB!B:B, Material_DB!D:D, 0), XLOOKUP(B45, Labor_Machine_DB!A:A, Labor_Machine_DB!D:D, 0)), 0)</f>
        <v/>
      </c>
      <c r="E45">
        <f>IFERROR(C45*D45, 0)</f>
        <v/>
      </c>
    </row>
    <row r="46">
      <c r="D46">
        <f>IFERROR(IF(A46="Material", XLOOKUP(B46, Material_DB!B:B, Material_DB!D:D, 0), XLOOKUP(B46, Labor_Machine_DB!A:A, Labor_Machine_DB!D:D, 0)), 0)</f>
        <v/>
      </c>
      <c r="E46">
        <f>IFERROR(C46*D46, 0)</f>
        <v/>
      </c>
    </row>
    <row r="47">
      <c r="D47">
        <f>IFERROR(IF(A47="Material", XLOOKUP(B47, Material_DB!B:B, Material_DB!D:D, 0), XLOOKUP(B47, Labor_Machine_DB!A:A, Labor_Machine_DB!D:D, 0)), 0)</f>
        <v/>
      </c>
      <c r="E47">
        <f>IFERROR(C47*D47, 0)</f>
        <v/>
      </c>
    </row>
    <row r="48">
      <c r="D48">
        <f>IFERROR(IF(A48="Material", XLOOKUP(B48, Material_DB!B:B, Material_DB!D:D, 0), XLOOKUP(B48, Labor_Machine_DB!A:A, Labor_Machine_DB!D:D, 0)), 0)</f>
        <v/>
      </c>
      <c r="E48">
        <f>IFERROR(C48*D48, 0)</f>
        <v/>
      </c>
    </row>
    <row r="49">
      <c r="D49">
        <f>IFERROR(IF(A49="Material", XLOOKUP(B49, Material_DB!B:B, Material_DB!D:D, 0), XLOOKUP(B49, Labor_Machine_DB!A:A, Labor_Machine_DB!D:D, 0)), 0)</f>
        <v/>
      </c>
      <c r="E49">
        <f>IFERROR(C49*D49, 0)</f>
        <v/>
      </c>
    </row>
    <row r="50">
      <c r="D50">
        <f>IFERROR(IF(A50="Material", XLOOKUP(B50, Material_DB!B:B, Material_DB!D:D, 0), XLOOKUP(B50, Labor_Machine_DB!A:A, Labor_Machine_DB!D:D, 0)), 0)</f>
        <v/>
      </c>
      <c r="E50">
        <f>IFERROR(C50*D50, 0)</f>
        <v/>
      </c>
    </row>
    <row r="51">
      <c r="D51">
        <f>IFERROR(IF(A51="Material", XLOOKUP(B51, Material_DB!B:B, Material_DB!D:D, 0), XLOOKUP(B51, Labor_Machine_DB!A:A, Labor_Machine_DB!D:D, 0)), 0)</f>
        <v/>
      </c>
      <c r="E51">
        <f>IFERROR(C51*D51, 0)</f>
        <v/>
      </c>
    </row>
    <row r="52">
      <c r="D52">
        <f>IFERROR(IF(A52="Material", XLOOKUP(B52, Material_DB!B:B, Material_DB!D:D, 0), XLOOKUP(B52, Labor_Machine_DB!A:A, Labor_Machine_DB!D:D, 0)), 0)</f>
        <v/>
      </c>
      <c r="E52">
        <f>IFERROR(C52*D52, 0)</f>
        <v/>
      </c>
    </row>
    <row r="53">
      <c r="D53">
        <f>IFERROR(IF(A53="Material", XLOOKUP(B53, Material_DB!B:B, Material_DB!D:D, 0), XLOOKUP(B53, Labor_Machine_DB!A:A, Labor_Machine_DB!D:D, 0)), 0)</f>
        <v/>
      </c>
      <c r="E53">
        <f>IFERROR(C53*D53, 0)</f>
        <v/>
      </c>
    </row>
    <row r="54">
      <c r="D54">
        <f>IFERROR(IF(A54="Material", XLOOKUP(B54, Material_DB!B:B, Material_DB!D:D, 0), XLOOKUP(B54, Labor_Machine_DB!A:A, Labor_Machine_DB!D:D, 0)), 0)</f>
        <v/>
      </c>
      <c r="E54">
        <f>IFERROR(C54*D54, 0)</f>
        <v/>
      </c>
    </row>
    <row r="55">
      <c r="D55">
        <f>IFERROR(IF(A55="Material", XLOOKUP(B55, Material_DB!B:B, Material_DB!D:D, 0), XLOOKUP(B55, Labor_Machine_DB!A:A, Labor_Machine_DB!D:D, 0)), 0)</f>
        <v/>
      </c>
      <c r="E55">
        <f>IFERROR(C55*D55, 0)</f>
        <v/>
      </c>
    </row>
    <row r="56">
      <c r="D56">
        <f>IFERROR(IF(A56="Material", XLOOKUP(B56, Material_DB!B:B, Material_DB!D:D, 0), XLOOKUP(B56, Labor_Machine_DB!A:A, Labor_Machine_DB!D:D, 0)), 0)</f>
        <v/>
      </c>
      <c r="E56">
        <f>IFERROR(C56*D56, 0)</f>
        <v/>
      </c>
    </row>
    <row r="57">
      <c r="D57">
        <f>IFERROR(IF(A57="Material", XLOOKUP(B57, Material_DB!B:B, Material_DB!D:D, 0), XLOOKUP(B57, Labor_Machine_DB!A:A, Labor_Machine_DB!D:D, 0)), 0)</f>
        <v/>
      </c>
      <c r="E57">
        <f>IFERROR(C57*D57, 0)</f>
        <v/>
      </c>
    </row>
    <row r="58">
      <c r="D58">
        <f>IFERROR(IF(A58="Material", XLOOKUP(B58, Material_DB!B:B, Material_DB!D:D, 0), XLOOKUP(B58, Labor_Machine_DB!A:A, Labor_Machine_DB!D:D, 0)), 0)</f>
        <v/>
      </c>
      <c r="E58">
        <f>IFERROR(C58*D58, 0)</f>
        <v/>
      </c>
    </row>
    <row r="59">
      <c r="D59">
        <f>IFERROR(IF(A59="Material", XLOOKUP(B59, Material_DB!B:B, Material_DB!D:D, 0), XLOOKUP(B59, Labor_Machine_DB!A:A, Labor_Machine_DB!D:D, 0)), 0)</f>
        <v/>
      </c>
      <c r="E59">
        <f>IFERROR(C59*D59, 0)</f>
        <v/>
      </c>
    </row>
    <row r="60">
      <c r="D60">
        <f>IFERROR(IF(A60="Material", XLOOKUP(B60, Material_DB!B:B, Material_DB!D:D, 0), XLOOKUP(B60, Labor_Machine_DB!A:A, Labor_Machine_DB!D:D, 0)), 0)</f>
        <v/>
      </c>
      <c r="E60">
        <f>IFERROR(C60*D60, 0)</f>
        <v/>
      </c>
    </row>
    <row r="61">
      <c r="D61">
        <f>IFERROR(IF(A61="Material", XLOOKUP(B61, Material_DB!B:B, Material_DB!D:D, 0), XLOOKUP(B61, Labor_Machine_DB!A:A, Labor_Machine_DB!D:D, 0)), 0)</f>
        <v/>
      </c>
      <c r="E61">
        <f>IFERROR(C61*D61, 0)</f>
        <v/>
      </c>
    </row>
    <row r="62">
      <c r="D62">
        <f>IFERROR(IF(A62="Material", XLOOKUP(B62, Material_DB!B:B, Material_DB!D:D, 0), XLOOKUP(B62, Labor_Machine_DB!A:A, Labor_Machine_DB!D:D, 0)), 0)</f>
        <v/>
      </c>
      <c r="E62">
        <f>IFERROR(C62*D62, 0)</f>
        <v/>
      </c>
    </row>
    <row r="63">
      <c r="D63">
        <f>IFERROR(IF(A63="Material", XLOOKUP(B63, Material_DB!B:B, Material_DB!D:D, 0), XLOOKUP(B63, Labor_Machine_DB!A:A, Labor_Machine_DB!D:D, 0)), 0)</f>
        <v/>
      </c>
      <c r="E63">
        <f>IFERROR(C63*D63, 0)</f>
        <v/>
      </c>
    </row>
    <row r="64">
      <c r="D64">
        <f>IFERROR(IF(A64="Material", XLOOKUP(B64, Material_DB!B:B, Material_DB!D:D, 0), XLOOKUP(B64, Labor_Machine_DB!A:A, Labor_Machine_DB!D:D, 0)), 0)</f>
        <v/>
      </c>
      <c r="E64">
        <f>IFERROR(C64*D64, 0)</f>
        <v/>
      </c>
    </row>
    <row r="65">
      <c r="D65">
        <f>IFERROR(IF(A65="Material", XLOOKUP(B65, Material_DB!B:B, Material_DB!D:D, 0), XLOOKUP(B65, Labor_Machine_DB!A:A, Labor_Machine_DB!D:D, 0)), 0)</f>
        <v/>
      </c>
      <c r="E65">
        <f>IFERROR(C65*D65, 0)</f>
        <v/>
      </c>
    </row>
    <row r="66">
      <c r="D66">
        <f>IFERROR(IF(A66="Material", XLOOKUP(B66, Material_DB!B:B, Material_DB!D:D, 0), XLOOKUP(B66, Labor_Machine_DB!A:A, Labor_Machine_DB!D:D, 0)), 0)</f>
        <v/>
      </c>
      <c r="E66">
        <f>IFERROR(C66*D66, 0)</f>
        <v/>
      </c>
    </row>
    <row r="67">
      <c r="D67">
        <f>IFERROR(IF(A67="Material", XLOOKUP(B67, Material_DB!B:B, Material_DB!D:D, 0), XLOOKUP(B67, Labor_Machine_DB!A:A, Labor_Machine_DB!D:D, 0)), 0)</f>
        <v/>
      </c>
      <c r="E67">
        <f>IFERROR(C67*D67, 0)</f>
        <v/>
      </c>
    </row>
    <row r="68">
      <c r="D68">
        <f>IFERROR(IF(A68="Material", XLOOKUP(B68, Material_DB!B:B, Material_DB!D:D, 0), XLOOKUP(B68, Labor_Machine_DB!A:A, Labor_Machine_DB!D:D, 0)), 0)</f>
        <v/>
      </c>
      <c r="E68">
        <f>IFERROR(C68*D68, 0)</f>
        <v/>
      </c>
    </row>
    <row r="69">
      <c r="D69">
        <f>IFERROR(IF(A69="Material", XLOOKUP(B69, Material_DB!B:B, Material_DB!D:D, 0), XLOOKUP(B69, Labor_Machine_DB!A:A, Labor_Machine_DB!D:D, 0)), 0)</f>
        <v/>
      </c>
      <c r="E69">
        <f>IFERROR(C69*D69, 0)</f>
        <v/>
      </c>
    </row>
    <row r="70">
      <c r="D70">
        <f>IFERROR(IF(A70="Material", XLOOKUP(B70, Material_DB!B:B, Material_DB!D:D, 0), XLOOKUP(B70, Labor_Machine_DB!A:A, Labor_Machine_DB!D:D, 0)), 0)</f>
        <v/>
      </c>
      <c r="E70">
        <f>IFERROR(C70*D70, 0)</f>
        <v/>
      </c>
    </row>
    <row r="71">
      <c r="D71">
        <f>IFERROR(IF(A71="Material", XLOOKUP(B71, Material_DB!B:B, Material_DB!D:D, 0), XLOOKUP(B71, Labor_Machine_DB!A:A, Labor_Machine_DB!D:D, 0)), 0)</f>
        <v/>
      </c>
      <c r="E71">
        <f>IFERROR(C71*D71, 0)</f>
        <v/>
      </c>
    </row>
    <row r="72">
      <c r="D72">
        <f>IFERROR(IF(A72="Material", XLOOKUP(B72, Material_DB!B:B, Material_DB!D:D, 0), XLOOKUP(B72, Labor_Machine_DB!A:A, Labor_Machine_DB!D:D, 0)), 0)</f>
        <v/>
      </c>
      <c r="E72">
        <f>IFERROR(C72*D72, 0)</f>
        <v/>
      </c>
    </row>
    <row r="73">
      <c r="D73">
        <f>IFERROR(IF(A73="Material", XLOOKUP(B73, Material_DB!B:B, Material_DB!D:D, 0), XLOOKUP(B73, Labor_Machine_DB!A:A, Labor_Machine_DB!D:D, 0)), 0)</f>
        <v/>
      </c>
      <c r="E73">
        <f>IFERROR(C73*D73, 0)</f>
        <v/>
      </c>
    </row>
    <row r="74">
      <c r="D74">
        <f>IFERROR(IF(A74="Material", XLOOKUP(B74, Material_DB!B:B, Material_DB!D:D, 0), XLOOKUP(B74, Labor_Machine_DB!A:A, Labor_Machine_DB!D:D, 0)), 0)</f>
        <v/>
      </c>
      <c r="E74">
        <f>IFERROR(C74*D74, 0)</f>
        <v/>
      </c>
    </row>
    <row r="75">
      <c r="D75">
        <f>IFERROR(IF(A75="Material", XLOOKUP(B75, Material_DB!B:B, Material_DB!D:D, 0), XLOOKUP(B75, Labor_Machine_DB!A:A, Labor_Machine_DB!D:D, 0)), 0)</f>
        <v/>
      </c>
      <c r="E75">
        <f>IFERROR(C75*D75, 0)</f>
        <v/>
      </c>
    </row>
    <row r="76">
      <c r="D76">
        <f>IFERROR(IF(A76="Material", XLOOKUP(B76, Material_DB!B:B, Material_DB!D:D, 0), XLOOKUP(B76, Labor_Machine_DB!A:A, Labor_Machine_DB!D:D, 0)), 0)</f>
        <v/>
      </c>
      <c r="E76">
        <f>IFERROR(C76*D76, 0)</f>
        <v/>
      </c>
    </row>
    <row r="77">
      <c r="D77">
        <f>IFERROR(IF(A77="Material", XLOOKUP(B77, Material_DB!B:B, Material_DB!D:D, 0), XLOOKUP(B77, Labor_Machine_DB!A:A, Labor_Machine_DB!D:D, 0)), 0)</f>
        <v/>
      </c>
      <c r="E77">
        <f>IFERROR(C77*D77, 0)</f>
        <v/>
      </c>
    </row>
    <row r="78">
      <c r="D78">
        <f>IFERROR(IF(A78="Material", XLOOKUP(B78, Material_DB!B:B, Material_DB!D:D, 0), XLOOKUP(B78, Labor_Machine_DB!A:A, Labor_Machine_DB!D:D, 0)), 0)</f>
        <v/>
      </c>
      <c r="E78">
        <f>IFERROR(C78*D78, 0)</f>
        <v/>
      </c>
    </row>
    <row r="79">
      <c r="D79">
        <f>IFERROR(IF(A79="Material", XLOOKUP(B79, Material_DB!B:B, Material_DB!D:D, 0), XLOOKUP(B79, Labor_Machine_DB!A:A, Labor_Machine_DB!D:D, 0)), 0)</f>
        <v/>
      </c>
      <c r="E79">
        <f>IFERROR(C79*D79, 0)</f>
        <v/>
      </c>
    </row>
    <row r="80">
      <c r="D80">
        <f>IFERROR(IF(A80="Material", XLOOKUP(B80, Material_DB!B:B, Material_DB!D:D, 0), XLOOKUP(B80, Labor_Machine_DB!A:A, Labor_Machine_DB!D:D, 0)), 0)</f>
        <v/>
      </c>
      <c r="E80">
        <f>IFERROR(C80*D80, 0)</f>
        <v/>
      </c>
    </row>
    <row r="81">
      <c r="D81">
        <f>IFERROR(IF(A81="Material", XLOOKUP(B81, Material_DB!B:B, Material_DB!D:D, 0), XLOOKUP(B81, Labor_Machine_DB!A:A, Labor_Machine_DB!D:D, 0)), 0)</f>
        <v/>
      </c>
      <c r="E81">
        <f>IFERROR(C81*D81, 0)</f>
        <v/>
      </c>
    </row>
    <row r="82">
      <c r="D82">
        <f>IFERROR(IF(A82="Material", XLOOKUP(B82, Material_DB!B:B, Material_DB!D:D, 0), XLOOKUP(B82, Labor_Machine_DB!A:A, Labor_Machine_DB!D:D, 0)), 0)</f>
        <v/>
      </c>
      <c r="E82">
        <f>IFERROR(C82*D82, 0)</f>
        <v/>
      </c>
    </row>
    <row r="83">
      <c r="D83">
        <f>IFERROR(IF(A83="Material", XLOOKUP(B83, Material_DB!B:B, Material_DB!D:D, 0), XLOOKUP(B83, Labor_Machine_DB!A:A, Labor_Machine_DB!D:D, 0)), 0)</f>
        <v/>
      </c>
      <c r="E83">
        <f>IFERROR(C83*D83, 0)</f>
        <v/>
      </c>
    </row>
    <row r="84">
      <c r="D84">
        <f>IFERROR(IF(A84="Material", XLOOKUP(B84, Material_DB!B:B, Material_DB!D:D, 0), XLOOKUP(B84, Labor_Machine_DB!A:A, Labor_Machine_DB!D:D, 0)), 0)</f>
        <v/>
      </c>
      <c r="E84">
        <f>IFERROR(C84*D84, 0)</f>
        <v/>
      </c>
    </row>
    <row r="85">
      <c r="D85">
        <f>IFERROR(IF(A85="Material", XLOOKUP(B85, Material_DB!B:B, Material_DB!D:D, 0), XLOOKUP(B85, Labor_Machine_DB!A:A, Labor_Machine_DB!D:D, 0)), 0)</f>
        <v/>
      </c>
      <c r="E85">
        <f>IFERROR(C85*D85, 0)</f>
        <v/>
      </c>
    </row>
    <row r="86">
      <c r="D86">
        <f>IFERROR(IF(A86="Material", XLOOKUP(B86, Material_DB!B:B, Material_DB!D:D, 0), XLOOKUP(B86, Labor_Machine_DB!A:A, Labor_Machine_DB!D:D, 0)), 0)</f>
        <v/>
      </c>
      <c r="E86">
        <f>IFERROR(C86*D86, 0)</f>
        <v/>
      </c>
    </row>
    <row r="87">
      <c r="D87">
        <f>IFERROR(IF(A87="Material", XLOOKUP(B87, Material_DB!B:B, Material_DB!D:D, 0), XLOOKUP(B87, Labor_Machine_DB!A:A, Labor_Machine_DB!D:D, 0)), 0)</f>
        <v/>
      </c>
      <c r="E87">
        <f>IFERROR(C87*D87, 0)</f>
        <v/>
      </c>
    </row>
    <row r="88">
      <c r="D88">
        <f>IFERROR(IF(A88="Material", XLOOKUP(B88, Material_DB!B:B, Material_DB!D:D, 0), XLOOKUP(B88, Labor_Machine_DB!A:A, Labor_Machine_DB!D:D, 0)), 0)</f>
        <v/>
      </c>
      <c r="E88">
        <f>IFERROR(C88*D88, 0)</f>
        <v/>
      </c>
    </row>
    <row r="89">
      <c r="D89">
        <f>IFERROR(IF(A89="Material", XLOOKUP(B89, Material_DB!B:B, Material_DB!D:D, 0), XLOOKUP(B89, Labor_Machine_DB!A:A, Labor_Machine_DB!D:D, 0)), 0)</f>
        <v/>
      </c>
      <c r="E89">
        <f>IFERROR(C89*D89, 0)</f>
        <v/>
      </c>
    </row>
    <row r="90">
      <c r="D90">
        <f>IFERROR(IF(A90="Material", XLOOKUP(B90, Material_DB!B:B, Material_DB!D:D, 0), XLOOKUP(B90, Labor_Machine_DB!A:A, Labor_Machine_DB!D:D, 0)), 0)</f>
        <v/>
      </c>
      <c r="E90">
        <f>IFERROR(C90*D90, 0)</f>
        <v/>
      </c>
    </row>
    <row r="91">
      <c r="D91">
        <f>IFERROR(IF(A91="Material", XLOOKUP(B91, Material_DB!B:B, Material_DB!D:D, 0), XLOOKUP(B91, Labor_Machine_DB!A:A, Labor_Machine_DB!D:D, 0)), 0)</f>
        <v/>
      </c>
      <c r="E91">
        <f>IFERROR(C91*D91, 0)</f>
        <v/>
      </c>
    </row>
    <row r="92">
      <c r="D92">
        <f>IFERROR(IF(A92="Material", XLOOKUP(B92, Material_DB!B:B, Material_DB!D:D, 0), XLOOKUP(B92, Labor_Machine_DB!A:A, Labor_Machine_DB!D:D, 0)), 0)</f>
        <v/>
      </c>
      <c r="E92">
        <f>IFERROR(C92*D92, 0)</f>
        <v/>
      </c>
    </row>
    <row r="93">
      <c r="D93">
        <f>IFERROR(IF(A93="Material", XLOOKUP(B93, Material_DB!B:B, Material_DB!D:D, 0), XLOOKUP(B93, Labor_Machine_DB!A:A, Labor_Machine_DB!D:D, 0)), 0)</f>
        <v/>
      </c>
      <c r="E93">
        <f>IFERROR(C93*D93, 0)</f>
        <v/>
      </c>
    </row>
    <row r="94">
      <c r="D94">
        <f>IFERROR(IF(A94="Material", XLOOKUP(B94, Material_DB!B:B, Material_DB!D:D, 0), XLOOKUP(B94, Labor_Machine_DB!A:A, Labor_Machine_DB!D:D, 0)), 0)</f>
        <v/>
      </c>
      <c r="E94">
        <f>IFERROR(C94*D94, 0)</f>
        <v/>
      </c>
    </row>
    <row r="95">
      <c r="D95">
        <f>IFERROR(IF(A95="Material", XLOOKUP(B95, Material_DB!B:B, Material_DB!D:D, 0), XLOOKUP(B95, Labor_Machine_DB!A:A, Labor_Machine_DB!D:D, 0)), 0)</f>
        <v/>
      </c>
      <c r="E95">
        <f>IFERROR(C95*D95, 0)</f>
        <v/>
      </c>
    </row>
    <row r="96">
      <c r="D96">
        <f>IFERROR(IF(A96="Material", XLOOKUP(B96, Material_DB!B:B, Material_DB!D:D, 0), XLOOKUP(B96, Labor_Machine_DB!A:A, Labor_Machine_DB!D:D, 0)), 0)</f>
        <v/>
      </c>
      <c r="E96">
        <f>IFERROR(C96*D96, 0)</f>
        <v/>
      </c>
    </row>
    <row r="97">
      <c r="D97">
        <f>IFERROR(IF(A97="Material", XLOOKUP(B97, Material_DB!B:B, Material_DB!D:D, 0), XLOOKUP(B97, Labor_Machine_DB!A:A, Labor_Machine_DB!D:D, 0)), 0)</f>
        <v/>
      </c>
      <c r="E97">
        <f>IFERROR(C97*D97, 0)</f>
        <v/>
      </c>
    </row>
    <row r="98">
      <c r="D98">
        <f>IFERROR(IF(A98="Material", XLOOKUP(B98, Material_DB!B:B, Material_DB!D:D, 0), XLOOKUP(B98, Labor_Machine_DB!A:A, Labor_Machine_DB!D:D, 0)), 0)</f>
        <v/>
      </c>
      <c r="E98">
        <f>IFERROR(C98*D98, 0)</f>
        <v/>
      </c>
    </row>
    <row r="99">
      <c r="D99">
        <f>IFERROR(IF(A99="Material", XLOOKUP(B99, Material_DB!B:B, Material_DB!D:D, 0), XLOOKUP(B99, Labor_Machine_DB!A:A, Labor_Machine_DB!D:D, 0)), 0)</f>
        <v/>
      </c>
      <c r="E99">
        <f>IFERROR(C99*D99, 0)</f>
        <v/>
      </c>
    </row>
    <row r="100">
      <c r="D100">
        <f>IFERROR(IF(A100="Material", XLOOKUP(B100, Material_DB!B:B, Material_DB!D:D, 0), XLOOKUP(B100, Labor_Machine_DB!A:A, Labor_Machine_DB!D:D, 0)), 0)</f>
        <v/>
      </c>
      <c r="E100">
        <f>IFERROR(C100*D100, 0)</f>
        <v/>
      </c>
    </row>
  </sheetData>
  <dataValidations count="3">
    <dataValidation sqref="A2:A100" showDropDown="0" showInputMessage="0" showErrorMessage="0" allowBlank="1" errorTitle="Invalid Category" error="Your entry is not in the list" promptTitle="Category Selection" prompt="Please select from the list" type="list">
      <formula1>"Material,Labor"</formula1>
    </dataValidation>
    <dataValidation sqref="B2:B100" showDropDown="0" showInputMessage="0" showErrorMessage="0" allowBlank="0" errorTitle="Invalid Input" error="Item name cannot be empty" type="textLength" operator="greaterThan">
      <formula1>0</formula1>
    </dataValidation>
    <dataValidation sqref="C2:C100" showDropDown="0" showInputMessage="0" showErrorMessage="0" allowBlank="0" errorTitle="Invalid Quantity" error="Value must be greater than zero" type="decimal" operator="greaterThan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.7109375" customWidth="1" min="1" max="26"/>
  </cols>
  <sheetData>
    <row r="1">
      <c r="A1" s="6" t="inlineStr">
        <is>
          <t>MANUFACTURING QUOTE</t>
        </is>
      </c>
      <c r="B1" s="2" t="inlineStr">
        <is>
          <t>Details</t>
        </is>
      </c>
      <c r="C1" s="2" t="inlineStr">
        <is>
          <t>Amount</t>
        </is>
      </c>
    </row>
    <row r="2">
      <c r="A2" s="3" t="n"/>
      <c r="B2" s="3" t="n"/>
      <c r="C2" s="3" t="n"/>
    </row>
    <row r="3">
      <c r="A3" s="7" t="inlineStr">
        <is>
          <t>Description</t>
        </is>
      </c>
      <c r="B3" s="7" t="inlineStr">
        <is>
          <t>Amount</t>
        </is>
      </c>
      <c r="C3" s="3" t="n"/>
    </row>
    <row r="4">
      <c r="A4" s="3" t="inlineStr">
        <is>
          <t>Total Production Cost</t>
        </is>
      </c>
      <c r="B4" s="3">
        <f>Costing_Engine!H5</f>
        <v/>
      </c>
      <c r="C4" s="3" t="n"/>
    </row>
    <row r="5">
      <c r="A5" s="3" t="inlineStr">
        <is>
          <t>Overheads &amp; Admin</t>
        </is>
      </c>
      <c r="B5" s="3">
        <f>Costing_Engine!H6</f>
        <v/>
      </c>
      <c r="C5" s="3" t="n"/>
    </row>
    <row r="6">
      <c r="A6" s="3" t="inlineStr">
        <is>
          <t>Profit Margin</t>
        </is>
      </c>
      <c r="B6" s="3">
        <f>B7-Costing_Engine!H7</f>
        <v/>
      </c>
      <c r="C6" s="3" t="n"/>
    </row>
    <row r="7">
      <c r="A7" s="3" t="inlineStr">
        <is>
          <t>TOTAL QUOTE PRICE</t>
        </is>
      </c>
      <c r="B7" s="5">
        <f>Costing_Engine!H8</f>
        <v/>
      </c>
      <c r="C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2026-01-19T10:21:39Z</dcterms:created>
  <dcterms:modified xmlns:dcterms="http://purl.org/dc/terms/" xmlns:xsi="http://www.w3.org/2001/XMLSchema-instance" xsi:type="dcterms:W3CDTF">2026-01-19T10:22:28Z</dcterms:modified>
</cp:coreProperties>
</file>